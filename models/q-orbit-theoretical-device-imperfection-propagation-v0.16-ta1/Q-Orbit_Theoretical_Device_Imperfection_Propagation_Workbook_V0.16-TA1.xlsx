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d74f1d315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6281b822cd14354"/>
    <x:sheet xmlns:r="http://schemas.openxmlformats.org/officeDocument/2006/relationships" name="Summary" sheetId="2" r:id="Rd7611f5fec4f427b"/>
    <x:sheet xmlns:r="http://schemas.openxmlformats.org/officeDocument/2006/relationships" name="Baseline" sheetId="3" r:id="Rf8a3f293f1154b43"/>
    <x:sheet xmlns:r="http://schemas.openxmlformats.org/officeDocument/2006/relationships" name="Parameters" sheetId="4" r:id="R62b254b73e2b4209"/>
    <x:sheet xmlns:r="http://schemas.openxmlformats.org/officeDocument/2006/relationships" name="Local Response" sheetId="5" r:id="Rcc9c2fc0b40a4937"/>
    <x:sheet xmlns:r="http://schemas.openxmlformats.org/officeDocument/2006/relationships" name="Frontiers" sheetId="6" r:id="Rbdb51ae68fc94c0f"/>
    <x:sheet xmlns:r="http://schemas.openxmlformats.org/officeDocument/2006/relationships" name="Grid Summary" sheetId="7" r:id="R7628c5e2ce2a41cc"/>
    <x:sheet xmlns:r="http://schemas.openxmlformats.org/officeDocument/2006/relationships" name="Grid Boundary" sheetId="8" r:id="R93933729e2404a81"/>
    <x:sheet xmlns:r="http://schemas.openxmlformats.org/officeDocument/2006/relationships" name="Grid Screen" sheetId="9" r:id="Rcc1d5f11d82e4c6b"/>
    <x:sheet xmlns:r="http://schemas.openxmlformats.org/officeDocument/2006/relationships" name="Regression" sheetId="10" r:id="R8fa8fb2a455c4680"/>
    <x:sheet xmlns:r="http://schemas.openxmlformats.org/officeDocument/2006/relationships" name="Proof Mapping" sheetId="11" r:id="Rb55ab5cb23a146e1"/>
    <x:sheet xmlns:r="http://schemas.openxmlformats.org/officeDocument/2006/relationships" name="Limitations" sheetId="12" r:id="R66864b69a1ae49ae"/>
    <x:sheet xmlns:r="http://schemas.openxmlformats.org/officeDocument/2006/relationships" name="Gates" sheetId="13" r:id="R0d9bb5325c114871"/>
    <x:sheet xmlns:r="http://schemas.openxmlformats.org/officeDocument/2006/relationships" name="Claims" sheetId="14" r:id="Rf9131d7368954d49"/>
    <x:sheet xmlns:r="http://schemas.openxmlformats.org/officeDocument/2006/relationships" name="Sources" sheetId="15" r:id="R1bbb53a5c5d449d8"/>
    <x:sheet xmlns:r="http://schemas.openxmlformats.org/officeDocument/2006/relationships" name="Controlled Inputs" sheetId="16" r:id="Rd510ca4cf7eb4841"/>
    <x:sheet xmlns:r="http://schemas.openxmlformats.org/officeDocument/2006/relationships" name="Audit" sheetId="17" r:id="R67de5a24b6994f30"/>
  </x:sheets>
  <x:calcPr calcId="191029"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"/>
    <x:numFmt numFmtId="201" formatCode="#,##0.0"/>
    <x:numFmt numFmtId="202" formatCode="0"/>
    <x:numFmt numFmtId="203" formatCode="0.00%"/>
    <x:numFmt numFmtId="204" formatCode="0.000000000000"/>
    <x:numFmt numFmtId="205" formatCode="0.000E+00"/>
    <x:numFmt numFmtId="206" formatCode="0.0000%"/>
    <x:numFmt numFmtId="207" formatCode="0.0E+00"/>
    <x:numFmt numFmtId="208" formatCode="#,##0.000"/>
    <x:numFmt numFmtId="209" formatCode="General"/>
    <x:numFmt numFmtId="210" formatCode="0.000000%"/>
  </x:numFmts>
  <x:fonts count="13">
    <x:font>
      <x:sz val="11"/>
      <x:name val="Carlito"/>
    </x:font>
    <x:font>
      <x:b/>
      <x:sz val="18"/>
      <x:color rgb="FFFFFFFF"/>
      <x:name val="Aptos Display"/>
    </x:font>
    <x:font>
      <x:b/>
      <x:sz val="10"/>
      <x:color rgb="FFB91C1C"/>
      <x:name val="Carlito"/>
    </x:font>
    <x:font>
      <x:b/>
      <x:sz val="9"/>
      <x:color rgb="FFFFFFFF"/>
      <x:name val="Carlito"/>
    </x:font>
    <x:font>
      <x:b/>
      <x:sz val="10"/>
      <x:color rgb="FF09243B"/>
      <x:name val="Carlito"/>
    </x:font>
    <x:font>
      <x:sz val="10"/>
      <x:color rgb="FF172033"/>
      <x:name val="Carlito"/>
    </x:font>
    <x:font>
      <x:b/>
      <x:sz val="15"/>
      <x:color rgb="FF2563EB"/>
      <x:name val="Carlito"/>
    </x:font>
    <x:font>
      <x:b/>
      <x:sz val="15"/>
      <x:color rgb="FF0F8F83"/>
      <x:name val="Carlito"/>
    </x:font>
    <x:font>
      <x:b/>
      <x:sz val="15"/>
      <x:color rgb="FF15803D"/>
      <x:name val="Carlito"/>
    </x:font>
    <x:font>
      <x:b/>
      <x:sz val="15"/>
      <x:color rgb="FFD97706"/>
      <x:name val="Carlito"/>
    </x:font>
    <x:font>
      <x:b/>
      <x:sz val="15"/>
      <x:color rgb="FF7E22CE"/>
      <x:name val="Carlito"/>
    </x:font>
    <x:font>
      <x:b/>
      <x:sz val="15"/>
      <x:color rgb="FFB91C1C"/>
      <x:name val="Carlito"/>
    </x:font>
    <x:font>
      <x:sz val="9"/>
      <x:color rgb="FF172033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9243B"/>
      </x:patternFill>
    </x:fill>
    <x:fill>
      <x:patternFill patternType="solid">
        <x:fgColor rgb="FFFEE2E2"/>
      </x:patternFill>
    </x:fill>
    <x:fill>
      <x:patternFill patternType="solid">
        <x:fgColor rgb="FF123A56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AF2FF"/>
      </x:patternFill>
    </x:fill>
    <x:fill>
      <x:patternFill patternType="solid">
        <x:fgColor rgb="FFDDF4F0"/>
      </x:patternFill>
    </x:fill>
    <x:fill>
      <x:patternFill patternType="solid">
        <x:fgColor rgb="FFDCFCE7"/>
      </x:patternFill>
    </x:fill>
    <x:fill>
      <x:patternFill patternType="solid">
        <x:fgColor rgb="FFFFF1D6"/>
      </x:patternFill>
    </x:fill>
    <x:fill>
      <x:patternFill patternType="solid">
        <x:fgColor rgb="FFF3E8FF"/>
      </x:patternFill>
    </x:fill>
  </x:fills>
  <x:borders count="10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medium">
        <x:color rgb="FFE2E8F0"/>
      </x:left>
      <x:top style="medium">
        <x:color rgb="FFE2E8F0"/>
      </x:top>
    </x:border>
    <x:border>
      <x:top style="medium">
        <x:color rgb="FFE2E8F0"/>
      </x:top>
    </x:border>
    <x:border>
      <x:right style="medium">
        <x:color rgb="FFE2E8F0"/>
      </x:right>
      <x:top style="medium">
        <x:color rgb="FFE2E8F0"/>
      </x:top>
    </x:border>
    <x:border>
      <x:left style="medium">
        <x:color rgb="FFE2E8F0"/>
      </x:left>
      <x:bottom style="medium">
        <x:color rgb="FFE2E8F0"/>
      </x:bottom>
    </x:border>
    <x:border>
      <x:bottom style="medium">
        <x:color rgb="FFE2E8F0"/>
      </x:bottom>
    </x:border>
    <x:border>
      <x:right style="medium">
        <x:color rgb="FFE2E8F0"/>
      </x:right>
      <x:bottom style="medium">
        <x:color rgb="FFE2E8F0"/>
      </x:bottom>
    </x:border>
    <x:border>
      <x:left style="medium">
        <x:color rgb="FFE2E8F0"/>
      </x:left>
    </x:border>
    <x:border>
      <x:right style="medium">
        <x:color rgb="FFE2E8F0"/>
      </x:right>
    </x:border>
  </x:borders>
  <x:cellStyleXfs count="1">
    <x:xf numFmtId="0" fontId="0" fillId="0" borderId="0"/>
  </x:cellStyleXfs>
  <x:cellXfs count="1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6" fillId="7" borderId="2" xfId="0" applyNumberFormat="1" applyFont="1" applyFill="1" applyBorder="1" applyAlignment="1">
      <x:alignment horizontal="center" vertical="center"/>
    </x:xf>
    <x:xf numFmtId="0" fontId="6" fillId="7" borderId="3" xfId="0" applyNumberFormat="1" applyFont="1" applyFill="1" applyBorder="1" applyAlignment="1">
      <x:alignment horizontal="center" vertical="center"/>
    </x:xf>
    <x:xf numFmtId="0" fontId="6" fillId="7" borderId="4" xfId="0" applyNumberFormat="1" applyFont="1" applyFill="1" applyBorder="1" applyAlignment="1">
      <x:alignment horizontal="center" vertical="center"/>
    </x:xf>
    <x:xf numFmtId="0" fontId="6" fillId="7" borderId="5" xfId="0" applyNumberFormat="1" applyFont="1" applyFill="1" applyBorder="1" applyAlignment="1">
      <x:alignment horizontal="center" vertical="center"/>
    </x:xf>
    <x:xf numFmtId="0" fontId="6" fillId="7" borderId="6" xfId="0" applyNumberFormat="1" applyFont="1" applyFill="1" applyBorder="1" applyAlignment="1">
      <x:alignment horizontal="center" vertical="center"/>
    </x:xf>
    <x:xf numFmtId="0" fontId="6" fillId="7" borderId="7" xfId="0" applyNumberFormat="1" applyFont="1" applyFill="1" applyBorder="1" applyAlignment="1">
      <x:alignment horizontal="center" vertical="center"/>
    </x:xf>
    <x:xf numFmtId="200" fontId="6" fillId="7" borderId="2" xfId="0" applyNumberFormat="1" applyFont="1" applyFill="1" applyBorder="1" applyAlignment="1">
      <x:alignment horizontal="center" vertical="center"/>
    </x:xf>
    <x:xf numFmtId="200" fontId="6" fillId="7" borderId="3" xfId="0" applyNumberFormat="1" applyFont="1" applyFill="1" applyBorder="1" applyAlignment="1">
      <x:alignment horizontal="center" vertical="center"/>
    </x:xf>
    <x:xf numFmtId="200" fontId="6" fillId="7" borderId="4" xfId="0" applyNumberFormat="1" applyFont="1" applyFill="1" applyBorder="1" applyAlignment="1">
      <x:alignment horizontal="center" vertical="center"/>
    </x:xf>
    <x:xf numFmtId="200" fontId="6" fillId="7" borderId="5" xfId="0" applyNumberFormat="1" applyFont="1" applyFill="1" applyBorder="1" applyAlignment="1">
      <x:alignment horizontal="center" vertical="center"/>
    </x:xf>
    <x:xf numFmtId="200" fontId="6" fillId="7" borderId="6" xfId="0" applyNumberFormat="1" applyFont="1" applyFill="1" applyBorder="1" applyAlignment="1">
      <x:alignment horizontal="center" vertical="center"/>
    </x:xf>
    <x:xf numFmtId="200" fontId="6" fillId="7" borderId="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7" fillId="8" borderId="2" xfId="0" applyNumberFormat="1" applyFont="1" applyFill="1" applyBorder="1" applyAlignment="1">
      <x:alignment horizontal="center" vertical="center"/>
    </x:xf>
    <x:xf numFmtId="0" fontId="7" fillId="8" borderId="3" xfId="0" applyNumberFormat="1" applyFont="1" applyFill="1" applyBorder="1" applyAlignment="1">
      <x:alignment horizontal="center" vertical="center"/>
    </x:xf>
    <x:xf numFmtId="0" fontId="7" fillId="8" borderId="4" xfId="0" applyNumberFormat="1" applyFont="1" applyFill="1" applyBorder="1" applyAlignment="1">
      <x:alignment horizontal="center" vertical="center"/>
    </x:xf>
    <x:xf numFmtId="0" fontId="7" fillId="8" borderId="5" xfId="0" applyNumberFormat="1" applyFont="1" applyFill="1" applyBorder="1" applyAlignment="1">
      <x:alignment horizontal="center" vertical="center"/>
    </x:xf>
    <x:xf numFmtId="0" fontId="7" fillId="8" borderId="6" xfId="0" applyNumberFormat="1" applyFont="1" applyFill="1" applyBorder="1" applyAlignment="1">
      <x:alignment horizontal="center" vertical="center"/>
    </x:xf>
    <x:xf numFmtId="0" fontId="7" fillId="8" borderId="7" xfId="0" applyNumberFormat="1" applyFont="1" applyFill="1" applyBorder="1" applyAlignment="1">
      <x:alignment horizontal="center" vertical="center"/>
    </x:xf>
    <x:xf numFmtId="201" fontId="7" fillId="8" borderId="2" xfId="0" applyNumberFormat="1" applyFont="1" applyFill="1" applyBorder="1" applyAlignment="1">
      <x:alignment horizontal="center" vertical="center"/>
    </x:xf>
    <x:xf numFmtId="201" fontId="7" fillId="8" borderId="3" xfId="0" applyNumberFormat="1" applyFont="1" applyFill="1" applyBorder="1" applyAlignment="1">
      <x:alignment horizontal="center" vertical="center"/>
    </x:xf>
    <x:xf numFmtId="201" fontId="7" fillId="8" borderId="4" xfId="0" applyNumberFormat="1" applyFont="1" applyFill="1" applyBorder="1" applyAlignment="1">
      <x:alignment horizontal="center" vertical="center"/>
    </x:xf>
    <x:xf numFmtId="201" fontId="7" fillId="8" borderId="5" xfId="0" applyNumberFormat="1" applyFont="1" applyFill="1" applyBorder="1" applyAlignment="1">
      <x:alignment horizontal="center" vertical="center"/>
    </x:xf>
    <x:xf numFmtId="201" fontId="7" fillId="8" borderId="6" xfId="0" applyNumberFormat="1" applyFont="1" applyFill="1" applyBorder="1" applyAlignment="1">
      <x:alignment horizontal="center" vertical="center"/>
    </x:xf>
    <x:xf numFmtId="201" fontId="7" fillId="8" borderId="7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 vertical="center"/>
    </x:xf>
    <x:xf numFmtId="0" fontId="8" fillId="9" borderId="2" xfId="0" applyNumberFormat="1" applyFont="1" applyFill="1" applyBorder="1" applyAlignment="1">
      <x:alignment horizontal="center" vertical="center"/>
    </x:xf>
    <x:xf numFmtId="0" fontId="8" fillId="9" borderId="3" xfId="0" applyNumberFormat="1" applyFont="1" applyFill="1" applyBorder="1" applyAlignment="1">
      <x:alignment horizontal="center" vertical="center"/>
    </x:xf>
    <x:xf numFmtId="0" fontId="8" fillId="9" borderId="4" xfId="0" applyNumberFormat="1" applyFont="1" applyFill="1" applyBorder="1" applyAlignment="1">
      <x:alignment horizontal="center" vertical="center"/>
    </x:xf>
    <x:xf numFmtId="0" fontId="8" fillId="9" borderId="5" xfId="0" applyNumberFormat="1" applyFont="1" applyFill="1" applyBorder="1" applyAlignment="1">
      <x:alignment horizontal="center" vertical="center"/>
    </x:xf>
    <x:xf numFmtId="0" fontId="8" fillId="9" borderId="6" xfId="0" applyNumberFormat="1" applyFont="1" applyFill="1" applyBorder="1" applyAlignment="1">
      <x:alignment horizontal="center" vertical="center"/>
    </x:xf>
    <x:xf numFmtId="0" fontId="8" fillId="9" borderId="7" xfId="0" applyNumberFormat="1" applyFont="1" applyFill="1" applyBorder="1" applyAlignment="1">
      <x:alignment horizontal="center" vertical="center"/>
    </x:xf>
    <x:xf numFmtId="202" fontId="8" fillId="9" borderId="2" xfId="0" applyNumberFormat="1" applyFont="1" applyFill="1" applyBorder="1" applyAlignment="1">
      <x:alignment horizontal="center" vertical="center"/>
    </x:xf>
    <x:xf numFmtId="202" fontId="8" fillId="9" borderId="3" xfId="0" applyNumberFormat="1" applyFont="1" applyFill="1" applyBorder="1" applyAlignment="1">
      <x:alignment horizontal="center" vertical="center"/>
    </x:xf>
    <x:xf numFmtId="202" fontId="8" fillId="9" borderId="4" xfId="0" applyNumberFormat="1" applyFont="1" applyFill="1" applyBorder="1" applyAlignment="1">
      <x:alignment horizontal="center" vertical="center"/>
    </x:xf>
    <x:xf numFmtId="202" fontId="8" fillId="9" borderId="5" xfId="0" applyNumberFormat="1" applyFont="1" applyFill="1" applyBorder="1" applyAlignment="1">
      <x:alignment horizontal="center" vertical="center"/>
    </x:xf>
    <x:xf numFmtId="202" fontId="8" fillId="9" borderId="6" xfId="0" applyNumberFormat="1" applyFont="1" applyFill="1" applyBorder="1" applyAlignment="1">
      <x:alignment horizontal="center" vertical="center"/>
    </x:xf>
    <x:xf numFmtId="202" fontId="8" fillId="9" borderId="7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9" fillId="10" borderId="2" xfId="0" applyNumberFormat="1" applyFont="1" applyFill="1" applyBorder="1" applyAlignment="1">
      <x:alignment horizontal="center" vertical="center"/>
    </x:xf>
    <x:xf numFmtId="0" fontId="9" fillId="10" borderId="3" xfId="0" applyNumberFormat="1" applyFont="1" applyFill="1" applyBorder="1" applyAlignment="1">
      <x:alignment horizontal="center" vertical="center"/>
    </x:xf>
    <x:xf numFmtId="0" fontId="9" fillId="10" borderId="4" xfId="0" applyNumberFormat="1" applyFont="1" applyFill="1" applyBorder="1" applyAlignment="1">
      <x:alignment horizontal="center" vertical="center"/>
    </x:xf>
    <x:xf numFmtId="0" fontId="9" fillId="10" borderId="5" xfId="0" applyNumberFormat="1" applyFont="1" applyFill="1" applyBorder="1" applyAlignment="1">
      <x:alignment horizontal="center" vertical="center"/>
    </x:xf>
    <x:xf numFmtId="0" fontId="9" fillId="10" borderId="6" xfId="0" applyNumberFormat="1" applyFont="1" applyFill="1" applyBorder="1" applyAlignment="1">
      <x:alignment horizontal="center" vertical="center"/>
    </x:xf>
    <x:xf numFmtId="0" fontId="9" fillId="10" borderId="7" xfId="0" applyNumberFormat="1" applyFont="1" applyFill="1" applyBorder="1" applyAlignment="1">
      <x:alignment horizontal="center" vertical="center"/>
    </x:xf>
    <x:xf numFmtId="203" fontId="9" fillId="10" borderId="2" xfId="0" applyNumberFormat="1" applyFont="1" applyFill="1" applyBorder="1" applyAlignment="1">
      <x:alignment horizontal="center" vertical="center"/>
    </x:xf>
    <x:xf numFmtId="203" fontId="9" fillId="10" borderId="3" xfId="0" applyNumberFormat="1" applyFont="1" applyFill="1" applyBorder="1" applyAlignment="1">
      <x:alignment horizontal="center" vertical="center"/>
    </x:xf>
    <x:xf numFmtId="203" fontId="9" fillId="10" borderId="4" xfId="0" applyNumberFormat="1" applyFont="1" applyFill="1" applyBorder="1" applyAlignment="1">
      <x:alignment horizontal="center" vertical="center"/>
    </x:xf>
    <x:xf numFmtId="203" fontId="9" fillId="10" borderId="5" xfId="0" applyNumberFormat="1" applyFont="1" applyFill="1" applyBorder="1" applyAlignment="1">
      <x:alignment horizontal="center" vertical="center"/>
    </x:xf>
    <x:xf numFmtId="203" fontId="9" fillId="10" borderId="6" xfId="0" applyNumberFormat="1" applyFont="1" applyFill="1" applyBorder="1" applyAlignment="1">
      <x:alignment horizontal="center" vertical="center"/>
    </x:xf>
    <x:xf numFmtId="203" fontId="9" fillId="10" borderId="7" xfId="0" applyNumberFormat="1" applyFont="1" applyFill="1" applyBorder="1" applyAlignment="1">
      <x:alignment horizontal="center" vertical="center"/>
    </x:xf>
    <x:xf numFmtId="201" fontId="9" fillId="10" borderId="2" xfId="0" applyNumberFormat="1" applyFont="1" applyFill="1" applyBorder="1" applyAlignment="1">
      <x:alignment horizontal="center" vertical="center"/>
    </x:xf>
    <x:xf numFmtId="201" fontId="9" fillId="10" borderId="3" xfId="0" applyNumberFormat="1" applyFont="1" applyFill="1" applyBorder="1" applyAlignment="1">
      <x:alignment horizontal="center" vertical="center"/>
    </x:xf>
    <x:xf numFmtId="201" fontId="9" fillId="10" borderId="4" xfId="0" applyNumberFormat="1" applyFont="1" applyFill="1" applyBorder="1" applyAlignment="1">
      <x:alignment horizontal="center" vertical="center"/>
    </x:xf>
    <x:xf numFmtId="201" fontId="9" fillId="10" borderId="5" xfId="0" applyNumberFormat="1" applyFont="1" applyFill="1" applyBorder="1" applyAlignment="1">
      <x:alignment horizontal="center" vertical="center"/>
    </x:xf>
    <x:xf numFmtId="201" fontId="9" fillId="10" borderId="6" xfId="0" applyNumberFormat="1" applyFont="1" applyFill="1" applyBorder="1" applyAlignment="1">
      <x:alignment horizontal="center" vertical="center"/>
    </x:xf>
    <x:xf numFmtId="201" fontId="9" fillId="10" borderId="7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horizontal="center"/>
    </x:xf>
    <x:xf numFmtId="0" fontId="10" fillId="11" borderId="0" xfId="0" applyNumberFormat="1" applyFont="1" applyFill="1" applyBorder="1" applyAlignment="1">
      <x:alignment horizontal="center" vertical="center"/>
    </x:xf>
    <x:xf numFmtId="0" fontId="10" fillId="11" borderId="2" xfId="0" applyNumberFormat="1" applyFont="1" applyFill="1" applyBorder="1" applyAlignment="1">
      <x:alignment horizontal="center" vertical="center"/>
    </x:xf>
    <x:xf numFmtId="0" fontId="10" fillId="11" borderId="3" xfId="0" applyNumberFormat="1" applyFont="1" applyFill="1" applyBorder="1" applyAlignment="1">
      <x:alignment horizontal="center" vertical="center"/>
    </x:xf>
    <x:xf numFmtId="0" fontId="10" fillId="11" borderId="4" xfId="0" applyNumberFormat="1" applyFont="1" applyFill="1" applyBorder="1" applyAlignment="1">
      <x:alignment horizontal="center" vertical="center"/>
    </x:xf>
    <x:xf numFmtId="0" fontId="10" fillId="11" borderId="5" xfId="0" applyNumberFormat="1" applyFont="1" applyFill="1" applyBorder="1" applyAlignment="1">
      <x:alignment horizontal="center" vertical="center"/>
    </x:xf>
    <x:xf numFmtId="0" fontId="10" fillId="11" borderId="6" xfId="0" applyNumberFormat="1" applyFont="1" applyFill="1" applyBorder="1" applyAlignment="1">
      <x:alignment horizontal="center" vertical="center"/>
    </x:xf>
    <x:xf numFmtId="0" fontId="10" fillId="11" borderId="7" xfId="0" applyNumberFormat="1" applyFont="1" applyFill="1" applyBorder="1" applyAlignment="1">
      <x:alignment horizontal="center" vertical="center"/>
    </x:xf>
    <x:xf numFmtId="202" fontId="10" fillId="11" borderId="2" xfId="0" applyNumberFormat="1" applyFont="1" applyFill="1" applyBorder="1" applyAlignment="1">
      <x:alignment horizontal="center" vertical="center"/>
    </x:xf>
    <x:xf numFmtId="202" fontId="10" fillId="11" borderId="3" xfId="0" applyNumberFormat="1" applyFont="1" applyFill="1" applyBorder="1" applyAlignment="1">
      <x:alignment horizontal="center" vertical="center"/>
    </x:xf>
    <x:xf numFmtId="202" fontId="10" fillId="11" borderId="4" xfId="0" applyNumberFormat="1" applyFont="1" applyFill="1" applyBorder="1" applyAlignment="1">
      <x:alignment horizontal="center" vertical="center"/>
    </x:xf>
    <x:xf numFmtId="202" fontId="10" fillId="11" borderId="5" xfId="0" applyNumberFormat="1" applyFont="1" applyFill="1" applyBorder="1" applyAlignment="1">
      <x:alignment horizontal="center" vertical="center"/>
    </x:xf>
    <x:xf numFmtId="202" fontId="10" fillId="11" borderId="6" xfId="0" applyNumberFormat="1" applyFont="1" applyFill="1" applyBorder="1" applyAlignment="1">
      <x:alignment horizontal="center" vertical="center"/>
    </x:xf>
    <x:xf numFmtId="202" fontId="10" fillId="11" borderId="7" xfId="0" applyNumberFormat="1" applyFont="1" applyFill="1" applyBorder="1" applyAlignment="1">
      <x:alignment horizontal="center" vertical="center"/>
    </x:xf>
    <x:xf numFmtId="202" fontId="9" fillId="10" borderId="2" xfId="0" applyNumberFormat="1" applyFont="1" applyFill="1" applyBorder="1" applyAlignment="1">
      <x:alignment horizontal="center" vertical="center"/>
    </x:xf>
    <x:xf numFmtId="202" fontId="9" fillId="10" borderId="3" xfId="0" applyNumberFormat="1" applyFont="1" applyFill="1" applyBorder="1" applyAlignment="1">
      <x:alignment horizontal="center" vertical="center"/>
    </x:xf>
    <x:xf numFmtId="202" fontId="9" fillId="10" borderId="4" xfId="0" applyNumberFormat="1" applyFont="1" applyFill="1" applyBorder="1" applyAlignment="1">
      <x:alignment horizontal="center" vertical="center"/>
    </x:xf>
    <x:xf numFmtId="202" fontId="9" fillId="10" borderId="5" xfId="0" applyNumberFormat="1" applyFont="1" applyFill="1" applyBorder="1" applyAlignment="1">
      <x:alignment horizontal="center" vertical="center"/>
    </x:xf>
    <x:xf numFmtId="202" fontId="9" fillId="10" borderId="6" xfId="0" applyNumberFormat="1" applyFont="1" applyFill="1" applyBorder="1" applyAlignment="1">
      <x:alignment horizontal="center" vertical="center"/>
    </x:xf>
    <x:xf numFmtId="202" fontId="9" fillId="10" borderId="7" xfId="0" applyNumberFormat="1" applyFont="1" applyFill="1" applyBorder="1" applyAlignment="1">
      <x:alignment horizontal="center"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 applyAlignment="1">
      <x:alignment horizontal="center" vertical="center"/>
    </x:xf>
    <x:xf numFmtId="0" fontId="11" fillId="3" borderId="2" xfId="0" applyNumberFormat="1" applyFont="1" applyFill="1" applyBorder="1" applyAlignment="1">
      <x:alignment horizontal="center" vertical="center"/>
    </x:xf>
    <x:xf numFmtId="0" fontId="11" fillId="3" borderId="3" xfId="0" applyNumberFormat="1" applyFont="1" applyFill="1" applyBorder="1" applyAlignment="1">
      <x:alignment horizontal="center" vertical="center"/>
    </x:xf>
    <x:xf numFmtId="0" fontId="11" fillId="3" borderId="4" xfId="0" applyNumberFormat="1" applyFont="1" applyFill="1" applyBorder="1" applyAlignment="1">
      <x:alignment horizontal="center" vertical="center"/>
    </x:xf>
    <x:xf numFmtId="0" fontId="11" fillId="3" borderId="5" xfId="0" applyNumberFormat="1" applyFont="1" applyFill="1" applyBorder="1" applyAlignment="1">
      <x:alignment horizontal="center" vertical="center"/>
    </x:xf>
    <x:xf numFmtId="0" fontId="11" fillId="3" borderId="6" xfId="0" applyNumberFormat="1" applyFont="1" applyFill="1" applyBorder="1" applyAlignment="1">
      <x:alignment horizontal="center" vertical="center"/>
    </x:xf>
    <x:xf numFmtId="0" fontId="11" fillId="3" borderId="7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12" fillId="5" borderId="1" xfId="0" applyNumberFormat="1" applyFont="1" applyFill="1" applyBorder="1" applyAlignment="1">
      <x:alignment vertical="top" wrapText="1"/>
    </x:xf>
    <x:xf numFmtId="204" fontId="12" fillId="5" borderId="1" xfId="0" applyNumberFormat="1" applyFont="1" applyFill="1" applyBorder="1" applyAlignment="1">
      <x:alignment vertical="top" wrapText="1"/>
    </x:xf>
    <x:xf numFmtId="204" fontId="12" fillId="0" borderId="1" xfId="0" applyNumberFormat="1" applyFont="1" applyFill="1" applyBorder="1" applyAlignment="1">
      <x:alignment vertical="top" wrapText="1"/>
    </x:xf>
    <x:xf numFmtId="200" fontId="12" fillId="5" borderId="1" xfId="0" applyNumberFormat="1" applyFont="1" applyFill="1" applyBorder="1" applyAlignment="1">
      <x:alignment vertical="top" wrapText="1"/>
    </x:xf>
    <x:xf numFmtId="200" fontId="12" fillId="0" borderId="1" xfId="0" applyNumberFormat="1" applyFont="1" applyFill="1" applyBorder="1" applyAlignment="1">
      <x:alignment vertical="top" wrapText="1"/>
    </x:xf>
    <x:xf numFmtId="205" fontId="12" fillId="5" borderId="1" xfId="0" applyNumberFormat="1" applyFont="1" applyFill="1" applyBorder="1" applyAlignment="1">
      <x:alignment vertical="top" wrapText="1"/>
    </x:xf>
    <x:xf numFmtId="205" fontId="12" fillId="0" borderId="1" xfId="0" applyNumberFormat="1" applyFont="1" applyFill="1" applyBorder="1" applyAlignment="1">
      <x:alignment vertical="top" wrapText="1"/>
    </x:xf>
    <x:xf numFmtId="206" fontId="12" fillId="5" borderId="1" xfId="0" applyNumberFormat="1" applyFont="1" applyFill="1" applyBorder="1" applyAlignment="1">
      <x:alignment vertical="top" wrapText="1"/>
    </x:xf>
    <x:xf numFmtId="206" fontId="12" fillId="0" borderId="1" xfId="0" applyNumberFormat="1" applyFont="1" applyFill="1" applyBorder="1" applyAlignment="1">
      <x:alignment vertical="top" wrapText="1"/>
    </x:xf>
    <x:xf numFmtId="203" fontId="12" fillId="0" borderId="1" xfId="0" applyNumberFormat="1" applyFont="1" applyFill="1" applyBorder="1" applyAlignment="1">
      <x:alignment vertical="top" wrapText="1"/>
    </x:xf>
    <x:xf numFmtId="201" fontId="12" fillId="0" borderId="1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vertical="center" wrapText="1"/>
    </x:xf>
    <x:xf numFmtId="0" fontId="5" fillId="10" borderId="2" xfId="0" applyNumberFormat="1" applyFont="1" applyFill="1" applyBorder="1" applyAlignment="1">
      <x:alignment vertical="center" wrapText="1"/>
    </x:xf>
    <x:xf numFmtId="0" fontId="5" fillId="10" borderId="3" xfId="0" applyNumberFormat="1" applyFont="1" applyFill="1" applyBorder="1" applyAlignment="1">
      <x:alignment vertical="center" wrapText="1"/>
    </x:xf>
    <x:xf numFmtId="0" fontId="5" fillId="10" borderId="4" xfId="0" applyNumberFormat="1" applyFont="1" applyFill="1" applyBorder="1" applyAlignment="1">
      <x:alignment vertical="center" wrapText="1"/>
    </x:xf>
    <x:xf numFmtId="0" fontId="5" fillId="10" borderId="8" xfId="0" applyNumberFormat="1" applyFont="1" applyFill="1" applyBorder="1" applyAlignment="1">
      <x:alignment vertical="center" wrapText="1"/>
    </x:xf>
    <x:xf numFmtId="0" fontId="5" fillId="10" borderId="9" xfId="0" applyNumberFormat="1" applyFont="1" applyFill="1" applyBorder="1" applyAlignment="1">
      <x:alignment vertical="center" wrapText="1"/>
    </x:xf>
    <x:xf numFmtId="0" fontId="5" fillId="10" borderId="5" xfId="0" applyNumberFormat="1" applyFont="1" applyFill="1" applyBorder="1" applyAlignment="1">
      <x:alignment vertical="center" wrapText="1"/>
    </x:xf>
    <x:xf numFmtId="0" fontId="5" fillId="10" borderId="6" xfId="0" applyNumberFormat="1" applyFont="1" applyFill="1" applyBorder="1" applyAlignment="1">
      <x:alignment vertical="center" wrapText="1"/>
    </x:xf>
    <x:xf numFmtId="0" fontId="5" fillId="10" borderId="7" xfId="0" applyNumberFormat="1" applyFont="1" applyFill="1" applyBorder="1" applyAlignment="1">
      <x:alignment vertical="center" wrapText="1"/>
    </x:xf>
    <x:xf numFmtId="207" fontId="12" fillId="0" borderId="1" xfId="0" applyNumberFormat="1" applyFont="1" applyFill="1" applyBorder="1" applyAlignment="1">
      <x:alignment vertical="top" wrapText="1"/>
    </x:xf>
    <x:xf numFmtId="202" fontId="12" fillId="5" borderId="1" xfId="0" applyNumberFormat="1" applyFont="1" applyFill="1" applyBorder="1" applyAlignment="1">
      <x:alignment vertical="top" wrapText="1"/>
    </x:xf>
    <x:xf numFmtId="202" fontId="12" fillId="0" borderId="1" xfId="0" applyNumberFormat="1" applyFont="1" applyFill="1" applyBorder="1" applyAlignment="1">
      <x:alignment vertical="top" wrapText="1"/>
    </x:xf>
    <x:xf numFmtId="208" fontId="12" fillId="5" borderId="1" xfId="0" applyNumberFormat="1" applyFont="1" applyFill="1" applyBorder="1" applyAlignment="1">
      <x:alignment vertical="top" wrapText="1"/>
    </x:xf>
    <x:xf numFmtId="208" fontId="12" fillId="0" borderId="1" xfId="0" applyNumberFormat="1" applyFont="1" applyFill="1" applyBorder="1" applyAlignment="1">
      <x:alignment vertical="top" wrapText="1"/>
    </x:xf>
    <x:xf numFmtId="209" fontId="12" fillId="0" borderId="1" xfId="0" applyNumberFormat="1" applyFont="1" applyFill="1" applyBorder="1" applyAlignment="1">
      <x:alignment vertical="top" wrapText="1"/>
    </x:xf>
    <x:xf numFmtId="210" fontId="1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4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  <x:dxf>
      <x:font>
        <x:b/>
        <x:color rgb="FFD97706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8f0dfb10e4177" /><Relationship Type="http://schemas.openxmlformats.org/officeDocument/2006/relationships/theme" Target="/xl/theme/theme1.xml" Id="R1ed62c45a0f649cf" /><Relationship Type="http://schemas.openxmlformats.org/officeDocument/2006/relationships/sharedStrings" Target="/xl/sharedStrings.xml" Id="Rd6618e407a4041db" /><Relationship Type="http://schemas.openxmlformats.org/officeDocument/2006/relationships/worksheet" Target="/xl/worksheets/sheet1.xml" Id="Ra6281b822cd14354" /><Relationship Type="http://schemas.openxmlformats.org/officeDocument/2006/relationships/worksheet" Target="/xl/worksheets/sheet2.xml" Id="Rd7611f5fec4f427b" /><Relationship Type="http://schemas.openxmlformats.org/officeDocument/2006/relationships/worksheet" Target="/xl/worksheets/sheet3.xml" Id="Rf8a3f293f1154b43" /><Relationship Type="http://schemas.openxmlformats.org/officeDocument/2006/relationships/worksheet" Target="/xl/worksheets/sheet4.xml" Id="R62b254b73e2b4209" /><Relationship Type="http://schemas.openxmlformats.org/officeDocument/2006/relationships/worksheet" Target="/xl/worksheets/sheet5.xml" Id="Rcc9c2fc0b40a4937" /><Relationship Type="http://schemas.openxmlformats.org/officeDocument/2006/relationships/worksheet" Target="/xl/worksheets/sheet6.xml" Id="Rbdb51ae68fc94c0f" /><Relationship Type="http://schemas.openxmlformats.org/officeDocument/2006/relationships/worksheet" Target="/xl/worksheets/sheet7.xml" Id="R7628c5e2ce2a41cc" /><Relationship Type="http://schemas.openxmlformats.org/officeDocument/2006/relationships/worksheet" Target="/xl/worksheets/sheet8.xml" Id="R93933729e2404a81" /><Relationship Type="http://schemas.openxmlformats.org/officeDocument/2006/relationships/worksheet" Target="/xl/worksheets/sheet9.xml" Id="Rcc1d5f11d82e4c6b" /><Relationship Type="http://schemas.openxmlformats.org/officeDocument/2006/relationships/worksheet" Target="/xl/worksheets/sheet10.xml" Id="R8fa8fb2a455c4680" /><Relationship Type="http://schemas.openxmlformats.org/officeDocument/2006/relationships/worksheet" Target="/xl/worksheets/sheet11.xml" Id="Rb55ab5cb23a146e1" /><Relationship Type="http://schemas.openxmlformats.org/officeDocument/2006/relationships/worksheet" Target="/xl/worksheets/sheet12.xml" Id="R66864b69a1ae49ae" /><Relationship Type="http://schemas.openxmlformats.org/officeDocument/2006/relationships/worksheet" Target="/xl/worksheets/sheet13.xml" Id="R0d9bb5325c114871" /><Relationship Type="http://schemas.openxmlformats.org/officeDocument/2006/relationships/worksheet" Target="/xl/worksheets/sheet14.xml" Id="Rf9131d7368954d49" /><Relationship Type="http://schemas.openxmlformats.org/officeDocument/2006/relationships/worksheet" Target="/xl/worksheets/sheet15.xml" Id="R1bbb53a5c5d449d8" /><Relationship Type="http://schemas.openxmlformats.org/officeDocument/2006/relationships/worksheet" Target="/xl/worksheets/sheet16.xml" Id="Rd510ca4cf7eb4841" /><Relationship Type="http://schemas.openxmlformats.org/officeDocument/2006/relationships/worksheet" Target="/xl/worksheets/sheet17.xml" Id="R67de5a24b6994f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838511690f4dc2" /><Relationship Type="http://schemas.openxmlformats.org/officeDocument/2006/relationships/chart" Target="/xl/drawings/charts/chart2.xml" Id="Re990f5e39ba740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Local response (different declared steps)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Normalized response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'Local Response'!$B$6:$B$13</c:f>
              <c:strCache>
                <c:ptCount val="0"/>
              </c:strCache>
            </c:strRef>
          </c:cat>
          <c:val>
            <c:numRef>
              <c:f>'Local Response'!$L$6:$L$13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ax val="0.1"/>
          <c:min val="-0.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Highest positive QBER vs p_ec (grid)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Grid boundary</c:v>
          </c:tx>
          <c:spPr>
            <a:solidFill xmlns:a="http://schemas.openxmlformats.org/drawingml/2006/main">
              <a:srgbClr val="0F8F83"/>
            </a:solidFill>
          </c:spPr>
          <c:marker>
            <c:symbol val="none"/>
          </c:marker>
          <c:cat>
            <c:strRef>
              <c:f>'Grid Boundary'!$G$6:$G$11</c:f>
              <c:strCache>
                <c:ptCount val="0"/>
              </c:strCache>
            </c:strRef>
          </c:cat>
          <c:val>
            <c:numRef>
              <c:f>'Grid Boundary'!$H$6:$H$11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E+0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ax val="0.01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838511690f4dc2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90f5e39ba740c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2f0f3e90ff648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27" customHeight="1">
      <x:c r="A1" s="3" t="str">
        <x:v>Q-Orbit V0.16-TA1 | theoretical device-imperfection propagation</x:v>
      </x:c>
      <x:c r="B1" s="3" t="str">
        <x:v>Q-Orbit V0.16-TA1 | theoretical device-imperfection propagation</x:v>
      </x:c>
      <x:c r="C1" s="3" t="str">
        <x:v>Q-Orbit V0.16-TA1 | theoretical device-imperfection propagation</x:v>
      </x:c>
      <x:c r="D1" s="3" t="str">
        <x:v>Q-Orbit V0.16-TA1 | theoretical device-imperfection propagation</x:v>
      </x:c>
      <x:c r="E1" s="3" t="str">
        <x:v>Q-Orbit V0.16-TA1 | theoretical device-imperfection propagation</x:v>
      </x:c>
      <x:c r="F1" s="3" t="str">
        <x:v>Q-Orbit V0.16-TA1 | theoretical device-imperfection propagation</x:v>
      </x:c>
      <x:c r="G1" s="3" t="str">
        <x:v>Q-Orbit V0.16-TA1 | theoretical device-imperfection propagation</x:v>
      </x:c>
      <x:c r="H1" s="3" t="str">
        <x:v>Q-Orbit V0.16-TA1 | theoretical device-imperfection propagation</x:v>
      </x:c>
      <x:c r="I1" s="3" t="str">
        <x:v>Q-Orbit V0.16-TA1 | theoretical device-imperfection propagation</x:v>
      </x:c>
      <x:c r="J1" s="3" t="str">
        <x:v>Q-Orbit V0.16-TA1 | theoretical device-imperfection propagation</x:v>
      </x:c>
      <x:c r="K1" s="3" t="str">
        <x:v>Q-Orbit V0.16-TA1 | theoretical device-imperfection propagation</x:v>
      </x:c>
      <x:c r="L1" s="3" t="str">
        <x:v>Q-Orbit V0.16-TA1 | theoretical device-imperfection propagation</x:v>
      </x:c>
      <x:c r="M1" s="3" t="str">
        <x:v>Q-Orbit V0.16-TA1 | theoretical device-imperfection propagation</x:v>
      </x:c>
      <x:c r="N1" s="3" t="str">
        <x:v>Q-Orbit V0.16-TA1 | theoretical device-imperfection propagation</x:v>
      </x:c>
      <x:c r="O1" s="3" t="str">
        <x:v>Q-Orbit V0.16-TA1 | theoretical device-imperfection propagation</x:v>
      </x:c>
      <x:c r="P1" s="3" t="str">
        <x:v>Q-Orbit V0.16-TA1 | theoretical device-imperfection propagation</x:v>
      </x:c>
    </x:row>
    <x:row r="2" ht="27" customHeight="1">
      <x:c r="A2" s="3" t="str">
        <x:v>Q-Orbit V0.16-TA1 | theoretical device-imperfection propagation</x:v>
      </x:c>
      <x:c r="B2" s="3" t="str">
        <x:v>Q-Orbit V0.16-TA1 | theoretical device-imperfection propagation</x:v>
      </x:c>
      <x:c r="C2" s="3" t="str">
        <x:v>Q-Orbit V0.16-TA1 | theoretical device-imperfection propagation</x:v>
      </x:c>
      <x:c r="D2" s="3" t="str">
        <x:v>Q-Orbit V0.16-TA1 | theoretical device-imperfection propagation</x:v>
      </x:c>
      <x:c r="E2" s="3" t="str">
        <x:v>Q-Orbit V0.16-TA1 | theoretical device-imperfection propagation</x:v>
      </x:c>
      <x:c r="F2" s="3" t="str">
        <x:v>Q-Orbit V0.16-TA1 | theoretical device-imperfection propagation</x:v>
      </x:c>
      <x:c r="G2" s="3" t="str">
        <x:v>Q-Orbit V0.16-TA1 | theoretical device-imperfection propagation</x:v>
      </x:c>
      <x:c r="H2" s="3" t="str">
        <x:v>Q-Orbit V0.16-TA1 | theoretical device-imperfection propagation</x:v>
      </x:c>
      <x:c r="I2" s="3" t="str">
        <x:v>Q-Orbit V0.16-TA1 | theoretical device-imperfection propagation</x:v>
      </x:c>
      <x:c r="J2" s="3" t="str">
        <x:v>Q-Orbit V0.16-TA1 | theoretical device-imperfection propagation</x:v>
      </x:c>
      <x:c r="K2" s="3" t="str">
        <x:v>Q-Orbit V0.16-TA1 | theoretical device-imperfection propagation</x:v>
      </x:c>
      <x:c r="L2" s="3" t="str">
        <x:v>Q-Orbit V0.16-TA1 | theoretical device-imperfection propagation</x:v>
      </x:c>
      <x:c r="M2" s="3" t="str">
        <x:v>Q-Orbit V0.16-TA1 | theoretical device-imperfection propagation</x:v>
      </x:c>
      <x:c r="N2" s="3" t="str">
        <x:v>Q-Orbit V0.16-TA1 | theoretical device-imperfection propagation</x:v>
      </x:c>
      <x:c r="O2" s="3" t="str">
        <x:v>Q-Orbit V0.16-TA1 | theoretical device-imperfection propagation</x:v>
      </x:c>
      <x:c r="P2" s="3" t="str">
        <x:v>Q-Orbit V0.16-TA1 | theoretical device-imperfection propagation</x:v>
      </x:c>
    </x:row>
    <x:row r="3" ht="32" customHeight="1">
      <x:c r="A3" s="7" t="str">
        <x:v>Software-fixture analysis only. No hardware selection, purchase, characterization, optical emission, Tabuk run, security proof closure or key release.</x:v>
      </x:c>
      <x:c r="B3" s="7" t="str">
        <x:v>Software-fixture analysis only. No hardware selection, purchase, characterization, optical emission, Tabuk run, security proof closure or key release.</x:v>
      </x:c>
      <x:c r="C3" s="7" t="str">
        <x:v>Software-fixture analysis only. No hardware selection, purchase, characterization, optical emission, Tabuk run, security proof closure or key release.</x:v>
      </x:c>
      <x:c r="D3" s="7" t="str">
        <x:v>Software-fixture analysis only. No hardware selection, purchase, characterization, optical emission, Tabuk run, security proof closure or key release.</x:v>
      </x:c>
      <x:c r="E3" s="7" t="str">
        <x:v>Software-fixture analysis only. No hardware selection, purchase, characterization, optical emission, Tabuk run, security proof closure or key release.</x:v>
      </x:c>
      <x:c r="F3" s="7" t="str">
        <x:v>Software-fixture analysis only. No hardware selection, purchase, characterization, optical emission, Tabuk run, security proof closure or key release.</x:v>
      </x:c>
      <x:c r="G3" s="7" t="str">
        <x:v>Software-fixture analysis only. No hardware selection, purchase, characterization, optical emission, Tabuk run, security proof closure or key release.</x:v>
      </x:c>
      <x:c r="H3" s="7" t="str">
        <x:v>Software-fixture analysis only. No hardware selection, purchase, characterization, optical emission, Tabuk run, security proof closure or key release.</x:v>
      </x:c>
      <x:c r="I3" s="7" t="str">
        <x:v>Software-fixture analysis only. No hardware selection, purchase, characterization, optical emission, Tabuk run, security proof closure or key release.</x:v>
      </x:c>
      <x:c r="J3" s="7" t="str">
        <x:v>Software-fixture analysis only. No hardware selection, purchase, characterization, optical emission, Tabuk run, security proof closure or key release.</x:v>
      </x:c>
      <x:c r="K3" s="7" t="str">
        <x:v>Software-fixture analysis only. No hardware selection, purchase, characterization, optical emission, Tabuk run, security proof closure or key release.</x:v>
      </x:c>
      <x:c r="L3" s="7" t="str">
        <x:v>Software-fixture analysis only. No hardware selection, purchase, characterization, optical emission, Tabuk run, security proof closure or key release.</x:v>
      </x:c>
      <x:c r="M3" s="7" t="str">
        <x:v>Software-fixture analysis only. No hardware selection, purchase, characterization, optical emission, Tabuk run, security proof closure or key release.</x:v>
      </x:c>
      <x:c r="N3" s="7" t="str">
        <x:v>Software-fixture analysis only. No hardware selection, purchase, characterization, optical emission, Tabuk run, security proof closure or key release.</x:v>
      </x:c>
      <x:c r="O3" s="7" t="str">
        <x:v>Software-fixture analysis only. No hardware selection, purchase, characterization, optical emission, Tabuk run, security proof closure or key release.</x:v>
      </x:c>
      <x:c r="P3" s="7" t="str">
        <x:v>Software-fixture analysis only. No hardware selection, purchase, characterization, optical emission, Tabuk run, security proof closure or key release.</x:v>
      </x:c>
    </x:row>
    <x:row r="5" ht="38" customHeight="1">
      <x:c r="A5" s="13" t="str">
        <x:v>SECTION</x:v>
      </x:c>
      <x:c r="B5" s="13" t="str">
        <x:v>SECTION</x:v>
      </x:c>
      <x:c r="C5" s="13" t="str">
        <x:v>SECTION</x:v>
      </x:c>
      <x:c r="D5" s="13" t="str">
        <x:v>CONTROLLED READING</x:v>
      </x:c>
      <x:c r="E5" s="13" t="str">
        <x:v>CONTROLLED READING</x:v>
      </x:c>
      <x:c r="F5" s="13" t="str">
        <x:v>CONTROLLED READING</x:v>
      </x:c>
      <x:c r="G5" s="13" t="str">
        <x:v>CONTROLLED READING</x:v>
      </x:c>
      <x:c r="H5" s="13" t="str">
        <x:v>CONTROLLED READING</x:v>
      </x:c>
      <x:c r="I5" s="13" t="str">
        <x:v>CONTROLLED READING</x:v>
      </x:c>
      <x:c r="J5" s="13" t="str">
        <x:v>CONTROLLED READING</x:v>
      </x:c>
      <x:c r="K5" s="13" t="str">
        <x:v>CONTROLLED READING</x:v>
      </x:c>
      <x:c r="L5" s="13" t="str">
        <x:v>CONTROLLED READING</x:v>
      </x:c>
      <x:c r="M5" s="13" t="str">
        <x:v>CONTROLLED READING</x:v>
      </x:c>
      <x:c r="N5" s="13" t="str">
        <x:v>CONTROLLED READING</x:v>
      </x:c>
      <x:c r="O5" s="13" t="str">
        <x:v>CONTROLLED READING</x:v>
      </x:c>
      <x:c r="P5" s="13" t="str">
        <x:v>CONTROLLED READING</x:v>
      </x:c>
    </x:row>
    <x:row r="6" ht="42" customHeight="1">
      <x:c r="A6" s="21" t="str">
        <x:v>Purpose</x:v>
      </x:c>
      <x:c r="B6" s="21" t="str">
        <x:v>Purpose</x:v>
      </x:c>
      <x:c r="C6" s="21" t="str">
        <x:v>Purpose</x:v>
      </x:c>
      <x:c r="D6" s="22" t="str">
        <x:v>Reproduce the frozen V0.6 finite-key fixture, stress only scalar parameters already present in the software contract, and record every unmapped proof obligation.</x:v>
      </x:c>
      <x:c r="E6" s="22" t="str">
        <x:v>Reproduce the frozen V0.6 finite-key fixture, stress only scalar parameters already present in the software contract, and record every unmapped proof obligation.</x:v>
      </x:c>
      <x:c r="F6" s="22" t="str">
        <x:v>Reproduce the frozen V0.6 finite-key fixture, stress only scalar parameters already present in the software contract, and record every unmapped proof obligation.</x:v>
      </x:c>
      <x:c r="G6" s="22" t="str">
        <x:v>Reproduce the frozen V0.6 finite-key fixture, stress only scalar parameters already present in the software contract, and record every unmapped proof obligation.</x:v>
      </x:c>
      <x:c r="H6" s="22" t="str">
        <x:v>Reproduce the frozen V0.6 finite-key fixture, stress only scalar parameters already present in the software contract, and record every unmapped proof obligation.</x:v>
      </x:c>
      <x:c r="I6" s="22" t="str">
        <x:v>Reproduce the frozen V0.6 finite-key fixture, stress only scalar parameters already present in the software contract, and record every unmapped proof obligation.</x:v>
      </x:c>
      <x:c r="J6" s="22" t="str">
        <x:v>Reproduce the frozen V0.6 finite-key fixture, stress only scalar parameters already present in the software contract, and record every unmapped proof obligation.</x:v>
      </x:c>
      <x:c r="K6" s="22" t="str">
        <x:v>Reproduce the frozen V0.6 finite-key fixture, stress only scalar parameters already present in the software contract, and record every unmapped proof obligation.</x:v>
      </x:c>
      <x:c r="L6" s="22" t="str">
        <x:v>Reproduce the frozen V0.6 finite-key fixture, stress only scalar parameters already present in the software contract, and record every unmapped proof obligation.</x:v>
      </x:c>
      <x:c r="M6" s="22" t="str">
        <x:v>Reproduce the frozen V0.6 finite-key fixture, stress only scalar parameters already present in the software contract, and record every unmapped proof obligation.</x:v>
      </x:c>
      <x:c r="N6" s="22" t="str">
        <x:v>Reproduce the frozen V0.6 finite-key fixture, stress only scalar parameters already present in the software contract, and record every unmapped proof obligation.</x:v>
      </x:c>
      <x:c r="O6" s="22" t="str">
        <x:v>Reproduce the frozen V0.6 finite-key fixture, stress only scalar parameters already present in the software contract, and record every unmapped proof obligation.</x:v>
      </x:c>
      <x:c r="P6" s="22" t="str">
        <x:v>Reproduce the frozen V0.6 finite-key fixture, stress only scalar parameters already present in the software contract, and record every unmapped proof obligation.</x:v>
      </x:c>
    </x:row>
    <x:row r="7" ht="42" customHeight="1">
      <x:c r="A7" s="30" t="str">
        <x:v>Primary result</x:v>
      </x:c>
      <x:c r="B7" s="30" t="str">
        <x:v>Primary result</x:v>
      </x:c>
      <x:c r="C7" s="30" t="str">
        <x:v>Primary result</x:v>
      </x:c>
      <x:c r="D7" s="31" t="str">
        <x:v>41,338-bit floored fixture reproduced; 568/1,681 coupled grid points have positive signed margin; the grid fraction is not probability or reliability.</x:v>
      </x:c>
      <x:c r="E7" s="31" t="str">
        <x:v>41,338-bit floored fixture reproduced; 568/1,681 coupled grid points have positive signed margin; the grid fraction is not probability or reliability.</x:v>
      </x:c>
      <x:c r="F7" s="31" t="str">
        <x:v>41,338-bit floored fixture reproduced; 568/1,681 coupled grid points have positive signed margin; the grid fraction is not probability or reliability.</x:v>
      </x:c>
      <x:c r="G7" s="31" t="str">
        <x:v>41,338-bit floored fixture reproduced; 568/1,681 coupled grid points have positive signed margin; the grid fraction is not probability or reliability.</x:v>
      </x:c>
      <x:c r="H7" s="31" t="str">
        <x:v>41,338-bit floored fixture reproduced; 568/1,681 coupled grid points have positive signed margin; the grid fraction is not probability or reliability.</x:v>
      </x:c>
      <x:c r="I7" s="31" t="str">
        <x:v>41,338-bit floored fixture reproduced; 568/1,681 coupled grid points have positive signed margin; the grid fraction is not probability or reliability.</x:v>
      </x:c>
      <x:c r="J7" s="31" t="str">
        <x:v>41,338-bit floored fixture reproduced; 568/1,681 coupled grid points have positive signed margin; the grid fraction is not probability or reliability.</x:v>
      </x:c>
      <x:c r="K7" s="31" t="str">
        <x:v>41,338-bit floored fixture reproduced; 568/1,681 coupled grid points have positive signed margin; the grid fraction is not probability or reliability.</x:v>
      </x:c>
      <x:c r="L7" s="31" t="str">
        <x:v>41,338-bit floored fixture reproduced; 568/1,681 coupled grid points have positive signed margin; the grid fraction is not probability or reliability.</x:v>
      </x:c>
      <x:c r="M7" s="31" t="str">
        <x:v>41,338-bit floored fixture reproduced; 568/1,681 coupled grid points have positive signed margin; the grid fraction is not probability or reliability.</x:v>
      </x:c>
      <x:c r="N7" s="31" t="str">
        <x:v>41,338-bit floored fixture reproduced; 568/1,681 coupled grid points have positive signed margin; the grid fraction is not probability or reliability.</x:v>
      </x:c>
      <x:c r="O7" s="31" t="str">
        <x:v>41,338-bit floored fixture reproduced; 568/1,681 coupled grid points have positive signed margin; the grid fraction is not probability or reliability.</x:v>
      </x:c>
      <x:c r="P7" s="31" t="str">
        <x:v>41,338-bit floored fixture reproduced; 568/1,681 coupled grid points have positive signed margin; the grid fraction is not probability or reliability.</x:v>
      </x:c>
    </x:row>
    <x:row r="8" ht="42" customHeight="1">
      <x:c r="A8" s="21" t="str">
        <x:v>Reading rule</x:v>
      </x:c>
      <x:c r="B8" s="21" t="str">
        <x:v>Reading rule</x:v>
      </x:c>
      <x:c r="C8" s="21" t="str">
        <x:v>Reading rule</x:v>
      </x:c>
      <x:c r="D8" s="22" t="str">
        <x:v>Green means a bounded theoretical or integrity check passes. Red/orange means progression remains blocked, absent, nonpositive or unmapped.</x:v>
      </x:c>
      <x:c r="E8" s="22" t="str">
        <x:v>Green means a bounded theoretical or integrity check passes. Red/orange means progression remains blocked, absent, nonpositive or unmapped.</x:v>
      </x:c>
      <x:c r="F8" s="22" t="str">
        <x:v>Green means a bounded theoretical or integrity check passes. Red/orange means progression remains blocked, absent, nonpositive or unmapped.</x:v>
      </x:c>
      <x:c r="G8" s="22" t="str">
        <x:v>Green means a bounded theoretical or integrity check passes. Red/orange means progression remains blocked, absent, nonpositive or unmapped.</x:v>
      </x:c>
      <x:c r="H8" s="22" t="str">
        <x:v>Green means a bounded theoretical or integrity check passes. Red/orange means progression remains blocked, absent, nonpositive or unmapped.</x:v>
      </x:c>
      <x:c r="I8" s="22" t="str">
        <x:v>Green means a bounded theoretical or integrity check passes. Red/orange means progression remains blocked, absent, nonpositive or unmapped.</x:v>
      </x:c>
      <x:c r="J8" s="22" t="str">
        <x:v>Green means a bounded theoretical or integrity check passes. Red/orange means progression remains blocked, absent, nonpositive or unmapped.</x:v>
      </x:c>
      <x:c r="K8" s="22" t="str">
        <x:v>Green means a bounded theoretical or integrity check passes. Red/orange means progression remains blocked, absent, nonpositive or unmapped.</x:v>
      </x:c>
      <x:c r="L8" s="22" t="str">
        <x:v>Green means a bounded theoretical or integrity check passes. Red/orange means progression remains blocked, absent, nonpositive or unmapped.</x:v>
      </x:c>
      <x:c r="M8" s="22" t="str">
        <x:v>Green means a bounded theoretical or integrity check passes. Red/orange means progression remains blocked, absent, nonpositive or unmapped.</x:v>
      </x:c>
      <x:c r="N8" s="22" t="str">
        <x:v>Green means a bounded theoretical or integrity check passes. Red/orange means progression remains blocked, absent, nonpositive or unmapped.</x:v>
      </x:c>
      <x:c r="O8" s="22" t="str">
        <x:v>Green means a bounded theoretical or integrity check passes. Red/orange means progression remains blocked, absent, nonpositive or unmapped.</x:v>
      </x:c>
      <x:c r="P8" s="22" t="str">
        <x:v>Green means a bounded theoretical or integrity check passes. Red/orange means progression remains blocked, absent, nonpositive or unmapped.</x:v>
      </x:c>
    </x:row>
    <x:row r="9" ht="42" customHeight="1">
      <x:c r="A9" s="30" t="str">
        <x:v>Local response</x:v>
      </x:c>
      <x:c r="B9" s="30" t="str">
        <x:v>Local response</x:v>
      </x:c>
      <x:c r="C9" s="30" t="str">
        <x:v>Local response</x:v>
      </x:c>
      <x:c r="D9" s="31" t="str">
        <x:v>Ranks use ±0.1 dB or ±1% declared steps. They are local numerical responses, not global physical importance.</x:v>
      </x:c>
      <x:c r="E9" s="31" t="str">
        <x:v>Ranks use ±0.1 dB or ±1% declared steps. They are local numerical responses, not global physical importance.</x:v>
      </x:c>
      <x:c r="F9" s="31" t="str">
        <x:v>Ranks use ±0.1 dB or ±1% declared steps. They are local numerical responses, not global physical importance.</x:v>
      </x:c>
      <x:c r="G9" s="31" t="str">
        <x:v>Ranks use ±0.1 dB or ±1% declared steps. They are local numerical responses, not global physical importance.</x:v>
      </x:c>
      <x:c r="H9" s="31" t="str">
        <x:v>Ranks use ±0.1 dB or ±1% declared steps. They are local numerical responses, not global physical importance.</x:v>
      </x:c>
      <x:c r="I9" s="31" t="str">
        <x:v>Ranks use ±0.1 dB or ±1% declared steps. They are local numerical responses, not global physical importance.</x:v>
      </x:c>
      <x:c r="J9" s="31" t="str">
        <x:v>Ranks use ±0.1 dB or ±1% declared steps. They are local numerical responses, not global physical importance.</x:v>
      </x:c>
      <x:c r="K9" s="31" t="str">
        <x:v>Ranks use ±0.1 dB or ±1% declared steps. They are local numerical responses, not global physical importance.</x:v>
      </x:c>
      <x:c r="L9" s="31" t="str">
        <x:v>Ranks use ±0.1 dB or ±1% declared steps. They are local numerical responses, not global physical importance.</x:v>
      </x:c>
      <x:c r="M9" s="31" t="str">
        <x:v>Ranks use ±0.1 dB or ±1% declared steps. They are local numerical responses, not global physical importance.</x:v>
      </x:c>
      <x:c r="N9" s="31" t="str">
        <x:v>Ranks use ±0.1 dB or ±1% declared steps. They are local numerical responses, not global physical importance.</x:v>
      </x:c>
      <x:c r="O9" s="31" t="str">
        <x:v>Ranks use ±0.1 dB or ±1% declared steps. They are local numerical responses, not global physical importance.</x:v>
      </x:c>
      <x:c r="P9" s="31" t="str">
        <x:v>Ranks use ±0.1 dB or ±1% declared steps. They are local numerical responses, not global physical importance.</x:v>
      </x:c>
    </x:row>
    <x:row r="10" ht="42" customHeight="1">
      <x:c r="A10" s="21" t="str">
        <x:v>Frontiers</x:v>
      </x:c>
      <x:c r="B10" s="21" t="str">
        <x:v>Frontiers</x:v>
      </x:c>
      <x:c r="C10" s="21" t="str">
        <x:v>Frontiers</x:v>
      </x:c>
      <x:c r="D10" s="22" t="str">
        <x:v>Crossing values freeze all other parameters. They are not requirements, tolerances, procurement filters or acceptance thresholds.</x:v>
      </x:c>
      <x:c r="E10" s="22" t="str">
        <x:v>Crossing values freeze all other parameters. They are not requirements, tolerances, procurement filters or acceptance thresholds.</x:v>
      </x:c>
      <x:c r="F10" s="22" t="str">
        <x:v>Crossing values freeze all other parameters. They are not requirements, tolerances, procurement filters or acceptance thresholds.</x:v>
      </x:c>
      <x:c r="G10" s="22" t="str">
        <x:v>Crossing values freeze all other parameters. They are not requirements, tolerances, procurement filters or acceptance thresholds.</x:v>
      </x:c>
      <x:c r="H10" s="22" t="str">
        <x:v>Crossing values freeze all other parameters. They are not requirements, tolerances, procurement filters or acceptance thresholds.</x:v>
      </x:c>
      <x:c r="I10" s="22" t="str">
        <x:v>Crossing values freeze all other parameters. They are not requirements, tolerances, procurement filters or acceptance thresholds.</x:v>
      </x:c>
      <x:c r="J10" s="22" t="str">
        <x:v>Crossing values freeze all other parameters. They are not requirements, tolerances, procurement filters or acceptance thresholds.</x:v>
      </x:c>
      <x:c r="K10" s="22" t="str">
        <x:v>Crossing values freeze all other parameters. They are not requirements, tolerances, procurement filters or acceptance thresholds.</x:v>
      </x:c>
      <x:c r="L10" s="22" t="str">
        <x:v>Crossing values freeze all other parameters. They are not requirements, tolerances, procurement filters or acceptance thresholds.</x:v>
      </x:c>
      <x:c r="M10" s="22" t="str">
        <x:v>Crossing values freeze all other parameters. They are not requirements, tolerances, procurement filters or acceptance thresholds.</x:v>
      </x:c>
      <x:c r="N10" s="22" t="str">
        <x:v>Crossing values freeze all other parameters. They are not requirements, tolerances, procurement filters or acceptance thresholds.</x:v>
      </x:c>
      <x:c r="O10" s="22" t="str">
        <x:v>Crossing values freeze all other parameters. They are not requirements, tolerances, procurement filters or acceptance thresholds.</x:v>
      </x:c>
      <x:c r="P10" s="22" t="str">
        <x:v>Crossing values freeze all other parameters. They are not requirements, tolerances, procurement filters or acceptance thresholds.</x:v>
      </x:c>
    </x:row>
    <x:row r="11" ht="42" customHeight="1">
      <x:c r="A11" s="30" t="str">
        <x:v>Grid</x:v>
      </x:c>
      <x:c r="B11" s="30" t="str">
        <x:v>Grid</x:v>
      </x:c>
      <x:c r="C11" s="30" t="str">
        <x:v>Grid</x:v>
      </x:c>
      <x:c r="D11" s="31" t="str">
        <x:v>The 41 × 41 p_ec/QBER screen uses V0.7 engineering ranges. It is deterministic and not a calibrated distribution.</x:v>
      </x:c>
      <x:c r="E11" s="31" t="str">
        <x:v>The 41 × 41 p_ec/QBER screen uses V0.7 engineering ranges. It is deterministic and not a calibrated distribution.</x:v>
      </x:c>
      <x:c r="F11" s="31" t="str">
        <x:v>The 41 × 41 p_ec/QBER screen uses V0.7 engineering ranges. It is deterministic and not a calibrated distribution.</x:v>
      </x:c>
      <x:c r="G11" s="31" t="str">
        <x:v>The 41 × 41 p_ec/QBER screen uses V0.7 engineering ranges. It is deterministic and not a calibrated distribution.</x:v>
      </x:c>
      <x:c r="H11" s="31" t="str">
        <x:v>The 41 × 41 p_ec/QBER screen uses V0.7 engineering ranges. It is deterministic and not a calibrated distribution.</x:v>
      </x:c>
      <x:c r="I11" s="31" t="str">
        <x:v>The 41 × 41 p_ec/QBER screen uses V0.7 engineering ranges. It is deterministic and not a calibrated distribution.</x:v>
      </x:c>
      <x:c r="J11" s="31" t="str">
        <x:v>The 41 × 41 p_ec/QBER screen uses V0.7 engineering ranges. It is deterministic and not a calibrated distribution.</x:v>
      </x:c>
      <x:c r="K11" s="31" t="str">
        <x:v>The 41 × 41 p_ec/QBER screen uses V0.7 engineering ranges. It is deterministic and not a calibrated distribution.</x:v>
      </x:c>
      <x:c r="L11" s="31" t="str">
        <x:v>The 41 × 41 p_ec/QBER screen uses V0.7 engineering ranges. It is deterministic and not a calibrated distribution.</x:v>
      </x:c>
      <x:c r="M11" s="31" t="str">
        <x:v>The 41 × 41 p_ec/QBER screen uses V0.7 engineering ranges. It is deterministic and not a calibrated distribution.</x:v>
      </x:c>
      <x:c r="N11" s="31" t="str">
        <x:v>The 41 × 41 p_ec/QBER screen uses V0.7 engineering ranges. It is deterministic and not a calibrated distribution.</x:v>
      </x:c>
      <x:c r="O11" s="31" t="str">
        <x:v>The 41 × 41 p_ec/QBER screen uses V0.7 engineering ranges. It is deterministic and not a calibrated distribution.</x:v>
      </x:c>
      <x:c r="P11" s="31" t="str">
        <x:v>The 41 × 41 p_ec/QBER screen uses V0.7 engineering ranges. It is deterministic and not a calibrated distribution.</x:v>
      </x:c>
    </x:row>
    <x:row r="12" ht="42" customHeight="1">
      <x:c r="A12" s="21" t="str">
        <x:v>Proof boundary</x:v>
      </x:c>
      <x:c r="B12" s="21" t="str">
        <x:v>Proof boundary</x:v>
      </x:c>
      <x:c r="C12" s="21" t="str">
        <x:v>Proof boundary</x:v>
      </x:c>
      <x:c r="D12" s="22" t="str">
        <x:v>Phase randomization, pulse correlations, source flaws, detector history/mismatch and characterization confidence remain UNMAPPED and receive no invented penalty.</x:v>
      </x:c>
      <x:c r="E12" s="22" t="str">
        <x:v>Phase randomization, pulse correlations, source flaws, detector history/mismatch and characterization confidence remain UNMAPPED and receive no invented penalty.</x:v>
      </x:c>
      <x:c r="F12" s="22" t="str">
        <x:v>Phase randomization, pulse correlations, source flaws, detector history/mismatch and characterization confidence remain UNMAPPED and receive no invented penalty.</x:v>
      </x:c>
      <x:c r="G12" s="22" t="str">
        <x:v>Phase randomization, pulse correlations, source flaws, detector history/mismatch and characterization confidence remain UNMAPPED and receive no invented penalty.</x:v>
      </x:c>
      <x:c r="H12" s="22" t="str">
        <x:v>Phase randomization, pulse correlations, source flaws, detector history/mismatch and characterization confidence remain UNMAPPED and receive no invented penalty.</x:v>
      </x:c>
      <x:c r="I12" s="22" t="str">
        <x:v>Phase randomization, pulse correlations, source flaws, detector history/mismatch and characterization confidence remain UNMAPPED and receive no invented penalty.</x:v>
      </x:c>
      <x:c r="J12" s="22" t="str">
        <x:v>Phase randomization, pulse correlations, source flaws, detector history/mismatch and characterization confidence remain UNMAPPED and receive no invented penalty.</x:v>
      </x:c>
      <x:c r="K12" s="22" t="str">
        <x:v>Phase randomization, pulse correlations, source flaws, detector history/mismatch and characterization confidence remain UNMAPPED and receive no invented penalty.</x:v>
      </x:c>
      <x:c r="L12" s="22" t="str">
        <x:v>Phase randomization, pulse correlations, source flaws, detector history/mismatch and characterization confidence remain UNMAPPED and receive no invented penalty.</x:v>
      </x:c>
      <x:c r="M12" s="22" t="str">
        <x:v>Phase randomization, pulse correlations, source flaws, detector history/mismatch and characterization confidence remain UNMAPPED and receive no invented penalty.</x:v>
      </x:c>
      <x:c r="N12" s="22" t="str">
        <x:v>Phase randomization, pulse correlations, source flaws, detector history/mismatch and characterization confidence remain UNMAPPED and receive no invented penalty.</x:v>
      </x:c>
      <x:c r="O12" s="22" t="str">
        <x:v>Phase randomization, pulse correlations, source flaws, detector history/mismatch and characterization confidence remain UNMAPPED and receive no invented penalty.</x:v>
      </x:c>
      <x:c r="P12" s="22" t="str">
        <x:v>Phase randomization, pulse correlations, source flaws, detector history/mismatch and characterization confidence remain UNMAPPED and receive no invented penalty.</x:v>
      </x:c>
    </x:row>
    <x:row r="13" ht="42" customHeight="1">
      <x:c r="A13" s="30" t="str">
        <x:v>Controlling states</x:v>
      </x:c>
      <x:c r="B13" s="30" t="str">
        <x:v>Controlling states</x:v>
      </x:c>
      <x:c r="C13" s="30" t="str">
        <x:v>Controlling states</x:v>
      </x:c>
      <x:c r="D13" s="31" t="str">
        <x:v>Physical characterization NOT-EXECUTED; HIL BLOCKED; Tabuk NOT-RUN/NONE; laser INHIBITED; key release QUARANTINED/ZERO-RELEASED; publication PRIVATE-BLOCKED.</x:v>
      </x:c>
      <x:c r="E13" s="31" t="str">
        <x:v>Physical characterization NOT-EXECUTED; HIL BLOCKED; Tabuk NOT-RUN/NONE; laser INHIBITED; key release QUARANTINED/ZERO-RELEASED; publication PRIVATE-BLOCKED.</x:v>
      </x:c>
      <x:c r="F13" s="31" t="str">
        <x:v>Physical characterization NOT-EXECUTED; HIL BLOCKED; Tabuk NOT-RUN/NONE; laser INHIBITED; key release QUARANTINED/ZERO-RELEASED; publication PRIVATE-BLOCKED.</x:v>
      </x:c>
      <x:c r="G13" s="31" t="str">
        <x:v>Physical characterization NOT-EXECUTED; HIL BLOCKED; Tabuk NOT-RUN/NONE; laser INHIBITED; key release QUARANTINED/ZERO-RELEASED; publication PRIVATE-BLOCKED.</x:v>
      </x:c>
      <x:c r="H13" s="31" t="str">
        <x:v>Physical characterization NOT-EXECUTED; HIL BLOCKED; Tabuk NOT-RUN/NONE; laser INHIBITED; key release QUARANTINED/ZERO-RELEASED; publication PRIVATE-BLOCKED.</x:v>
      </x:c>
      <x:c r="I13" s="31" t="str">
        <x:v>Physical characterization NOT-EXECUTED; HIL BLOCKED; Tabuk NOT-RUN/NONE; laser INHIBITED; key release QUARANTINED/ZERO-RELEASED; publication PRIVATE-BLOCKED.</x:v>
      </x:c>
      <x:c r="J13" s="31" t="str">
        <x:v>Physical characterization NOT-EXECUTED; HIL BLOCKED; Tabuk NOT-RUN/NONE; laser INHIBITED; key release QUARANTINED/ZERO-RELEASED; publication PRIVATE-BLOCKED.</x:v>
      </x:c>
      <x:c r="K13" s="31" t="str">
        <x:v>Physical characterization NOT-EXECUTED; HIL BLOCKED; Tabuk NOT-RUN/NONE; laser INHIBITED; key release QUARANTINED/ZERO-RELEASED; publication PRIVATE-BLOCKED.</x:v>
      </x:c>
      <x:c r="L13" s="31" t="str">
        <x:v>Physical characterization NOT-EXECUTED; HIL BLOCKED; Tabuk NOT-RUN/NONE; laser INHIBITED; key release QUARANTINED/ZERO-RELEASED; publication PRIVATE-BLOCKED.</x:v>
      </x:c>
      <x:c r="M13" s="31" t="str">
        <x:v>Physical characterization NOT-EXECUTED; HIL BLOCKED; Tabuk NOT-RUN/NONE; laser INHIBITED; key release QUARANTINED/ZERO-RELEASED; publication PRIVATE-BLOCKED.</x:v>
      </x:c>
      <x:c r="N13" s="31" t="str">
        <x:v>Physical characterization NOT-EXECUTED; HIL BLOCKED; Tabuk NOT-RUN/NONE; laser INHIBITED; key release QUARANTINED/ZERO-RELEASED; publication PRIVATE-BLOCKED.</x:v>
      </x:c>
      <x:c r="O13" s="31" t="str">
        <x:v>Physical characterization NOT-EXECUTED; HIL BLOCKED; Tabuk NOT-RUN/NONE; laser INHIBITED; key release QUARANTINED/ZERO-RELEASED; publication PRIVATE-BLOCKED.</x:v>
      </x:c>
      <x:c r="P13" s="31" t="str">
        <x:v>Physical characterization NOT-EXECUTED; HIL BLOCKED; Tabuk NOT-RUN/NONE; laser INHIBITED; key release QUARANTINED/ZERO-RELEASED; publication PRIVATE-BLOCKED.</x:v>
      </x:c>
    </x:row>
    <x:row r="14" ht="42" customHeight="1">
      <x:c r="A14" s="21" t="str">
        <x:v>Next theoretical task</x:v>
      </x:c>
      <x:c r="B14" s="21" t="str">
        <x:v>Next theoretical task</x:v>
      </x:c>
      <x:c r="C14" s="21" t="str">
        <x:v>Next theoretical task</x:v>
      </x:c>
      <x:c r="D14" s="22" t="str">
        <x:v>Select a proof profile and parameter domains for source phase/state/correlation and detector history/mismatch, then compose characterization confidence with the security statement.</x:v>
      </x:c>
      <x:c r="E14" s="22" t="str">
        <x:v>Select a proof profile and parameter domains for source phase/state/correlation and detector history/mismatch, then compose characterization confidence with the security statement.</x:v>
      </x:c>
      <x:c r="F14" s="22" t="str">
        <x:v>Select a proof profile and parameter domains for source phase/state/correlation and detector history/mismatch, then compose characterization confidence with the security statement.</x:v>
      </x:c>
      <x:c r="G14" s="22" t="str">
        <x:v>Select a proof profile and parameter domains for source phase/state/correlation and detector history/mismatch, then compose characterization confidence with the security statement.</x:v>
      </x:c>
      <x:c r="H14" s="22" t="str">
        <x:v>Select a proof profile and parameter domains for source phase/state/correlation and detector history/mismatch, then compose characterization confidence with the security statement.</x:v>
      </x:c>
      <x:c r="I14" s="22" t="str">
        <x:v>Select a proof profile and parameter domains for source phase/state/correlation and detector history/mismatch, then compose characterization confidence with the security statement.</x:v>
      </x:c>
      <x:c r="J14" s="22" t="str">
        <x:v>Select a proof profile and parameter domains for source phase/state/correlation and detector history/mismatch, then compose characterization confidence with the security statement.</x:v>
      </x:c>
      <x:c r="K14" s="22" t="str">
        <x:v>Select a proof profile and parameter domains for source phase/state/correlation and detector history/mismatch, then compose characterization confidence with the security statement.</x:v>
      </x:c>
      <x:c r="L14" s="22" t="str">
        <x:v>Select a proof profile and parameter domains for source phase/state/correlation and detector history/mismatch, then compose characterization confidence with the security statement.</x:v>
      </x:c>
      <x:c r="M14" s="22" t="str">
        <x:v>Select a proof profile and parameter domains for source phase/state/correlation and detector history/mismatch, then compose characterization confidence with the security statement.</x:v>
      </x:c>
      <x:c r="N14" s="22" t="str">
        <x:v>Select a proof profile and parameter domains for source phase/state/correlation and detector history/mismatch, then compose characterization confidence with the security statement.</x:v>
      </x:c>
      <x:c r="O14" s="22" t="str">
        <x:v>Select a proof profile and parameter domains for source phase/state/correlation and detector history/mismatch, then compose characterization confidence with the security statement.</x:v>
      </x:c>
      <x:c r="P14" s="22" t="str">
        <x:v>Select a proof profile and parameter domains for source phase/state/correlation and detector history/mismatch, then compose characterization confidence with the security statement.</x:v>
      </x:c>
    </x:row>
  </x:sheetData>
  <x:mergeCells>
    <x:mergeCell ref="A1:P2"/>
    <x:mergeCell ref="A3:P3"/>
    <x:mergeCell ref="A5:C5"/>
    <x:mergeCell ref="D5:P5"/>
    <x:mergeCell ref="A6:C6"/>
    <x:mergeCell ref="D6:P6"/>
    <x:mergeCell ref="A7:C7"/>
    <x:mergeCell ref="D7:P7"/>
    <x:mergeCell ref="A8:C8"/>
    <x:mergeCell ref="D8:P8"/>
    <x:mergeCell ref="A9:C9"/>
    <x:mergeCell ref="D9:P9"/>
    <x:mergeCell ref="A10:C10"/>
    <x:mergeCell ref="D10:P10"/>
    <x:mergeCell ref="A11:C11"/>
    <x:mergeCell ref="D11:P11"/>
    <x:mergeCell ref="A12:C12"/>
    <x:mergeCell ref="D12:P12"/>
    <x:mergeCell ref="A13:C13"/>
    <x:mergeCell ref="D13:P13"/>
    <x:mergeCell ref="A14:C14"/>
    <x:mergeCell ref="D14:P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27" customHeight="1">
      <x:c r="A1" s="3" t="str">
        <x:v>V0.16-TA1 theoretical analysis dashboard</x:v>
      </x:c>
      <x:c r="B1" s="3" t="str">
        <x:v>V0.16-TA1 theoretical analysis dashboard</x:v>
      </x:c>
      <x:c r="C1" s="3" t="str">
        <x:v>V0.16-TA1 theoretical analysis dashboard</x:v>
      </x:c>
      <x:c r="D1" s="3" t="str">
        <x:v>V0.16-TA1 theoretical analysis dashboard</x:v>
      </x:c>
      <x:c r="E1" s="3" t="str">
        <x:v>V0.16-TA1 theoretical analysis dashboard</x:v>
      </x:c>
      <x:c r="F1" s="3" t="str">
        <x:v>V0.16-TA1 theoretical analysis dashboard</x:v>
      </x:c>
      <x:c r="G1" s="3" t="str">
        <x:v>V0.16-TA1 theoretical analysis dashboard</x:v>
      </x:c>
      <x:c r="H1" s="3" t="str">
        <x:v>V0.16-TA1 theoretical analysis dashboard</x:v>
      </x:c>
      <x:c r="I1" s="3" t="str">
        <x:v>V0.16-TA1 theoretical analysis dashboard</x:v>
      </x:c>
      <x:c r="J1" s="3" t="str">
        <x:v>V0.16-TA1 theoretical analysis dashboard</x:v>
      </x:c>
      <x:c r="K1" s="3" t="str">
        <x:v>V0.16-TA1 theoretical analysis dashboard</x:v>
      </x:c>
      <x:c r="L1" s="3" t="str">
        <x:v>V0.16-TA1 theoretical analysis dashboard</x:v>
      </x:c>
      <x:c r="M1" s="3" t="str">
        <x:v>V0.16-TA1 theoretical analysis dashboard</x:v>
      </x:c>
      <x:c r="N1" s="3" t="str">
        <x:v>V0.16-TA1 theoretical analysis dashboard</x:v>
      </x:c>
      <x:c r="O1" s="3" t="str">
        <x:v>V0.16-TA1 theoretical analysis dashboard</x:v>
      </x:c>
      <x:c r="P1" s="3" t="str">
        <x:v>V0.16-TA1 theoretical analysis dashboard</x:v>
      </x:c>
    </x:row>
    <x:row r="2" ht="27" customHeight="1">
      <x:c r="A2" s="3" t="str">
        <x:v>V0.16-TA1 theoretical analysis dashboard</x:v>
      </x:c>
      <x:c r="B2" s="3" t="str">
        <x:v>V0.16-TA1 theoretical analysis dashboard</x:v>
      </x:c>
      <x:c r="C2" s="3" t="str">
        <x:v>V0.16-TA1 theoretical analysis dashboard</x:v>
      </x:c>
      <x:c r="D2" s="3" t="str">
        <x:v>V0.16-TA1 theoretical analysis dashboard</x:v>
      </x:c>
      <x:c r="E2" s="3" t="str">
        <x:v>V0.16-TA1 theoretical analysis dashboard</x:v>
      </x:c>
      <x:c r="F2" s="3" t="str">
        <x:v>V0.16-TA1 theoretical analysis dashboard</x:v>
      </x:c>
      <x:c r="G2" s="3" t="str">
        <x:v>V0.16-TA1 theoretical analysis dashboard</x:v>
      </x:c>
      <x:c r="H2" s="3" t="str">
        <x:v>V0.16-TA1 theoretical analysis dashboard</x:v>
      </x:c>
      <x:c r="I2" s="3" t="str">
        <x:v>V0.16-TA1 theoretical analysis dashboard</x:v>
      </x:c>
      <x:c r="J2" s="3" t="str">
        <x:v>V0.16-TA1 theoretical analysis dashboard</x:v>
      </x:c>
      <x:c r="K2" s="3" t="str">
        <x:v>V0.16-TA1 theoretical analysis dashboard</x:v>
      </x:c>
      <x:c r="L2" s="3" t="str">
        <x:v>V0.16-TA1 theoretical analysis dashboard</x:v>
      </x:c>
      <x:c r="M2" s="3" t="str">
        <x:v>V0.16-TA1 theoretical analysis dashboard</x:v>
      </x:c>
      <x:c r="N2" s="3" t="str">
        <x:v>V0.16-TA1 theoretical analysis dashboard</x:v>
      </x:c>
      <x:c r="O2" s="3" t="str">
        <x:v>V0.16-TA1 theoretical analysis dashboard</x:v>
      </x:c>
      <x:c r="P2" s="3" t="str">
        <x:v>V0.16-TA1 theoretical analysis dashboard</x:v>
      </x:c>
    </x:row>
    <x:row r="3" ht="32" customHeight="1">
      <x:c r="A3" s="7" t="str">
        <x:v>The fixture is reproducible, but proof-to-device closure is BLOCKED. Values below are numerical model results, not device, Tabuk, security or mission evidence.</x:v>
      </x:c>
      <x:c r="B3" s="7" t="str">
        <x:v>The fixture is reproducible, but proof-to-device closure is BLOCKED. Values below are numerical model results, not device, Tabuk, security or mission evidence.</x:v>
      </x:c>
      <x:c r="C3" s="7" t="str">
        <x:v>The fixture is reproducible, but proof-to-device closure is BLOCKED. Values below are numerical model results, not device, Tabuk, security or mission evidence.</x:v>
      </x:c>
      <x:c r="D3" s="7" t="str">
        <x:v>The fixture is reproducible, but proof-to-device closure is BLOCKED. Values below are numerical model results, not device, Tabuk, security or mission evidence.</x:v>
      </x:c>
      <x:c r="E3" s="7" t="str">
        <x:v>The fixture is reproducible, but proof-to-device closure is BLOCKED. Values below are numerical model results, not device, Tabuk, security or mission evidence.</x:v>
      </x:c>
      <x:c r="F3" s="7" t="str">
        <x:v>The fixture is reproducible, but proof-to-device closure is BLOCKED. Values below are numerical model results, not device, Tabuk, security or mission evidence.</x:v>
      </x:c>
      <x:c r="G3" s="7" t="str">
        <x:v>The fixture is reproducible, but proof-to-device closure is BLOCKED. Values below are numerical model results, not device, Tabuk, security or mission evidence.</x:v>
      </x:c>
      <x:c r="H3" s="7" t="str">
        <x:v>The fixture is reproducible, but proof-to-device closure is BLOCKED. Values below are numerical model results, not device, Tabuk, security or mission evidence.</x:v>
      </x:c>
      <x:c r="I3" s="7" t="str">
        <x:v>The fixture is reproducible, but proof-to-device closure is BLOCKED. Values below are numerical model results, not device, Tabuk, security or mission evidence.</x:v>
      </x:c>
      <x:c r="J3" s="7" t="str">
        <x:v>The fixture is reproducible, but proof-to-device closure is BLOCKED. Values below are numerical model results, not device, Tabuk, security or mission evidence.</x:v>
      </x:c>
      <x:c r="K3" s="7" t="str">
        <x:v>The fixture is reproducible, but proof-to-device closure is BLOCKED. Values below are numerical model results, not device, Tabuk, security or mission evidence.</x:v>
      </x:c>
      <x:c r="L3" s="7" t="str">
        <x:v>The fixture is reproducible, but proof-to-device closure is BLOCKED. Values below are numerical model results, not device, Tabuk, security or mission evidence.</x:v>
      </x:c>
      <x:c r="M3" s="7" t="str">
        <x:v>The fixture is reproducible, but proof-to-device closure is BLOCKED. Values below are numerical model results, not device, Tabuk, security or mission evidence.</x:v>
      </x:c>
      <x:c r="N3" s="7" t="str">
        <x:v>The fixture is reproducible, but proof-to-device closure is BLOCKED. Values below are numerical model results, not device, Tabuk, security or mission evidence.</x:v>
      </x:c>
      <x:c r="O3" s="7" t="str">
        <x:v>The fixture is reproducible, but proof-to-device closure is BLOCKED. Values below are numerical model results, not device, Tabuk, security or mission evidence.</x:v>
      </x:c>
      <x:c r="P3" s="7" t="str">
        <x:v>The fixture is reproducible, but proof-to-device closure is BLOCKED. Values below are numerical model results, not device, Tabuk, security or mission evidence.</x:v>
      </x:c>
    </x:row>
    <x:row r="5">
      <x:c r="A5" s="11" t="str">
        <x:v>FLOORED FIXTURE KEY</x:v>
      </x:c>
      <x:c r="B5" s="11" t="str">
        <x:v>FLOORED FIXTURE KEY</x:v>
      </x:c>
      <x:c r="C5" s="11" t="str">
        <x:v>FLOORED FIXTURE KEY</x:v>
      </x:c>
      <x:c r="D5" s="11" t="str">
        <x:v>SIGNED FIXTURE MARGIN</x:v>
      </x:c>
      <x:c r="E5" s="11" t="str">
        <x:v>SIGNED FIXTURE MARGIN</x:v>
      </x:c>
      <x:c r="F5" s="11" t="str">
        <x:v>SIGNED FIXTURE MARGIN</x:v>
      </x:c>
      <x:c r="G5" s="11" t="str">
        <x:v>REGRESSION PASS</x:v>
      </x:c>
      <x:c r="H5" s="11" t="str">
        <x:v>REGRESSION PASS</x:v>
      </x:c>
      <x:c r="I5" s="11" t="str">
        <x:v>REGRESSION PASS</x:v>
      </x:c>
      <x:c r="J5" s="11" t="str">
        <x:v>GRID POINTS</x:v>
      </x:c>
      <x:c r="K5" s="11" t="str">
        <x:v>GRID POINTS</x:v>
      </x:c>
      <x:c r="L5" s="11" t="str">
        <x:v>GRID POINTS</x:v>
      </x:c>
      <x:c r="M5" s="11" t="str">
        <x:v>POSITIVE GRID FRACTION</x:v>
      </x:c>
      <x:c r="N5" s="11" t="str">
        <x:v>POSITIVE GRID FRACTION</x:v>
      </x:c>
      <x:c r="O5" s="11" t="str">
        <x:v>POSITIVE GRID FRACTION</x:v>
      </x:c>
      <x:c r="P5" s="11" t="str">
        <x:v>POSITIVE GRID FRACTION</x:v>
      </x:c>
    </x:row>
    <x:row r="6">
      <x:c r="A6" s="42" t="n">
        <x:f>'Baseline'!B6</x:f>
        <x:v>41338</x:v>
      </x:c>
      <x:c r="B6" s="43"/>
      <x:c r="C6" s="44"/>
      <x:c r="D6" s="58" t="n">
        <x:f>'Baseline'!B7</x:f>
        <x:v>41338.62418456675</x:v>
      </x:c>
      <x:c r="E6" s="59"/>
      <x:c r="F6" s="60"/>
      <x:c r="G6" s="74" t="n">
        <x:f>COUNTIF('Regression'!$F$6:$F$17,"PASS")</x:f>
        <x:v>12</x:v>
      </x:c>
      <x:c r="H6" s="75"/>
      <x:c r="I6" s="76"/>
      <x:c r="J6" s="42" t="n">
        <x:f>COUNTA('Grid Screen'!$A$6:$A$1686)</x:f>
        <x:v>1681</x:v>
      </x:c>
      <x:c r="K6" s="43"/>
      <x:c r="L6" s="44"/>
      <x:c r="M6" s="90" t="n">
        <x:f>COUNTIF('Grid Screen'!$I$6:$I$1686,"POSITIVE-MODEL-MARGIN")/COUNTA('Grid Screen'!$A$6:$A$1686)</x:f>
        <x:v>0.33789411064842356</x:v>
      </x:c>
      <x:c r="N6" s="91"/>
      <x:c r="O6" s="91"/>
      <x:c r="P6" s="92"/>
    </x:row>
    <x:row r="7">
      <x:c r="A7" s="45"/>
      <x:c r="B7" s="46"/>
      <x:c r="C7" s="47"/>
      <x:c r="D7" s="61"/>
      <x:c r="E7" s="62"/>
      <x:c r="F7" s="63"/>
      <x:c r="G7" s="77"/>
      <x:c r="H7" s="78"/>
      <x:c r="I7" s="79"/>
      <x:c r="J7" s="45"/>
      <x:c r="K7" s="46"/>
      <x:c r="L7" s="47"/>
      <x:c r="M7" s="93"/>
      <x:c r="N7" s="94"/>
      <x:c r="O7" s="94"/>
      <x:c r="P7" s="95"/>
    </x:row>
    <x:row r="10">
      <x:c r="A10" s="11" t="str">
        <x:v>MEDIAN SIGNED MARGIN</x:v>
      </x:c>
      <x:c r="B10" s="11" t="str">
        <x:v>MEDIAN SIGNED MARGIN</x:v>
      </x:c>
      <x:c r="C10" s="11" t="str">
        <x:v>MEDIAN SIGNED MARGIN</x:v>
      </x:c>
      <x:c r="D10" s="11" t="str">
        <x:v>FRONTIER CROSSINGS</x:v>
      </x:c>
      <x:c r="E10" s="11" t="str">
        <x:v>FRONTIER CROSSINGS</x:v>
      </x:c>
      <x:c r="F10" s="11" t="str">
        <x:v>FRONTIER CROSSINGS</x:v>
      </x:c>
      <x:c r="G10" s="11" t="str">
        <x:v>UNMAPPED OBLIGATIONS</x:v>
      </x:c>
      <x:c r="H10" s="11" t="str">
        <x:v>UNMAPPED OBLIGATIONS</x:v>
      </x:c>
      <x:c r="I10" s="11" t="str">
        <x:v>UNMAPPED OBLIGATIONS</x:v>
      </x:c>
      <x:c r="J10" s="11" t="str">
        <x:v>PHYSICAL EXECUTIONS</x:v>
      </x:c>
      <x:c r="K10" s="11" t="str">
        <x:v>PHYSICAL EXECUTIONS</x:v>
      </x:c>
      <x:c r="L10" s="11" t="str">
        <x:v>PHYSICAL EXECUTIONS</x:v>
      </x:c>
      <x:c r="M10" s="11" t="str">
        <x:v>PUBLICATION</x:v>
      </x:c>
      <x:c r="N10" s="11" t="str">
        <x:v>PUBLICATION</x:v>
      </x:c>
      <x:c r="O10" s="11" t="str">
        <x:v>PUBLICATION</x:v>
      </x:c>
      <x:c r="P10" s="11" t="str">
        <x:v>PUBLICATION</x:v>
      </x:c>
    </x:row>
    <x:row r="11">
      <x:c r="A11" s="96" t="n">
        <x:f>MEDIAN('Grid Screen'!$E$6:$E$1686)</x:f>
        <x:v>-2624.946810258186</x:v>
      </x:c>
      <x:c r="B11" s="97"/>
      <x:c r="C11" s="98"/>
      <x:c r="D11" s="112" t="n">
        <x:f>COUNTIF('Frontiers'!$G$6:$G$21,"CROSSING-FOUND")</x:f>
        <x:v>10</x:v>
      </x:c>
      <x:c r="E11" s="113"/>
      <x:c r="F11" s="114"/>
      <x:c r="G11" s="118" t="n">
        <x:f>COUNTIF('Proof Mapping'!$D$6:$D$21,"UNMAPPED-PROOF-REQUIRED")+COUNTIF('Proof Mapping'!$D$6:$D$21,"UNMAPPED-MODEL-REQUIRED")+COUNTIF('Proof Mapping'!$D$6:$D$21,"UNMAPPED-SECURITY-BUDGET")</x:f>
        <x:v>7</x:v>
      </x:c>
      <x:c r="H11" s="119"/>
      <x:c r="I11" s="120"/>
      <x:c r="J11" s="118" t="n">
        <x:f>COUNTIF('Gates'!$D$6:$D$16,"PASS-PHYSICAL")</x:f>
        <x:v>0</x:v>
      </x:c>
      <x:c r="K11" s="119"/>
      <x:c r="L11" s="120"/>
      <x:c r="M11" s="127" t="str">
        <x:f>'Gates'!D16</x:f>
        <x:v>PRIVATE-BLOCKED</x:v>
      </x:c>
      <x:c r="N11" s="128"/>
      <x:c r="O11" s="128"/>
      <x:c r="P11" s="129"/>
    </x:row>
    <x:row r="12">
      <x:c r="A12" s="99"/>
      <x:c r="B12" s="100"/>
      <x:c r="C12" s="101"/>
      <x:c r="D12" s="115"/>
      <x:c r="E12" s="116"/>
      <x:c r="F12" s="117"/>
      <x:c r="G12" s="121"/>
      <x:c r="H12" s="122"/>
      <x:c r="I12" s="123"/>
      <x:c r="J12" s="121"/>
      <x:c r="K12" s="122"/>
      <x:c r="L12" s="123"/>
      <x:c r="M12" s="130"/>
      <x:c r="N12" s="131"/>
      <x:c r="O12" s="131"/>
      <x:c r="P12" s="132"/>
    </x:row>
    <x:row r="15">
      <x:c r="A15" s="11" t="str">
        <x:v>PHYSICAL CHARACTERIZATION</x:v>
      </x:c>
      <x:c r="B15" s="11" t="str">
        <x:v>PHYSICAL CHARACTERIZATION</x:v>
      </x:c>
      <x:c r="C15" s="11" t="str">
        <x:v>PHYSICAL CHARACTERIZATION</x:v>
      </x:c>
      <x:c r="D15" s="11" t="str">
        <x:v>PHYSICAL CHARACTERIZATION</x:v>
      </x:c>
      <x:c r="E15" s="11" t="str">
        <x:v>HARDWARE-IN-LOOP</x:v>
      </x:c>
      <x:c r="F15" s="11" t="str">
        <x:v>HARDWARE-IN-LOOP</x:v>
      </x:c>
      <x:c r="G15" s="11" t="str">
        <x:v>HARDWARE-IN-LOOP</x:v>
      </x:c>
      <x:c r="H15" s="11" t="str">
        <x:v>HARDWARE-IN-LOOP</x:v>
      </x:c>
      <x:c r="I15" s="11" t="str">
        <x:v>TABUK</x:v>
      </x:c>
      <x:c r="J15" s="11" t="str">
        <x:v>TABUK</x:v>
      </x:c>
      <x:c r="K15" s="11" t="str">
        <x:v>TABUK</x:v>
      </x:c>
      <x:c r="L15" s="11" t="str">
        <x:v>TABUK</x:v>
      </x:c>
      <x:c r="M15" s="11" t="str">
        <x:v>KEY RELEASE</x:v>
      </x:c>
      <x:c r="N15" s="11" t="str">
        <x:v>KEY RELEASE</x:v>
      </x:c>
      <x:c r="O15" s="11" t="str">
        <x:v>KEY RELEASE</x:v>
      </x:c>
      <x:c r="P15" s="11" t="str">
        <x:v>KEY RELEASE</x:v>
      </x:c>
    </x:row>
    <x:row r="16">
      <x:c r="A16" s="84" t="str">
        <x:f>'Gates'!D12</x:f>
        <x:v>NOT-EXECUTED</x:v>
      </x:c>
      <x:c r="B16" s="85"/>
      <x:c r="C16" s="85"/>
      <x:c r="D16" s="86"/>
      <x:c r="E16" s="127" t="str">
        <x:f>'Gates'!D13</x:f>
        <x:v>BLOCKED</x:v>
      </x:c>
      <x:c r="F16" s="128"/>
      <x:c r="G16" s="128"/>
      <x:c r="H16" s="129"/>
      <x:c r="I16" s="84" t="str">
        <x:f>'Gates'!D14</x:f>
        <x:v>NOT-RUN/NONE</x:v>
      </x:c>
      <x:c r="J16" s="85"/>
      <x:c r="K16" s="85"/>
      <x:c r="L16" s="86"/>
      <x:c r="M16" s="127" t="str">
        <x:f>'Gates'!D15</x:f>
        <x:v>QUARANTINED/ZERO-RELEASED</x:v>
      </x:c>
      <x:c r="N16" s="128"/>
      <x:c r="O16" s="128"/>
      <x:c r="P16" s="129"/>
    </x:row>
    <x:row r="17">
      <x:c r="A17" s="87"/>
      <x:c r="B17" s="88"/>
      <x:c r="C17" s="88"/>
      <x:c r="D17" s="89"/>
      <x:c r="E17" s="130"/>
      <x:c r="F17" s="131"/>
      <x:c r="G17" s="131"/>
      <x:c r="H17" s="132"/>
      <x:c r="I17" s="87"/>
      <x:c r="J17" s="88"/>
      <x:c r="K17" s="88"/>
      <x:c r="L17" s="89"/>
      <x:c r="M17" s="130"/>
      <x:c r="N17" s="131"/>
      <x:c r="O17" s="131"/>
      <x:c r="P17" s="132"/>
    </x:row>
  </x:sheetData>
  <x:mergeCells>
    <x:mergeCell ref="A1:P2"/>
    <x:mergeCell ref="A3:P3"/>
    <x:mergeCell ref="A5:C5"/>
    <x:mergeCell ref="A6:C7"/>
    <x:mergeCell ref="D5:F5"/>
    <x:mergeCell ref="D6:F7"/>
    <x:mergeCell ref="G5:I5"/>
    <x:mergeCell ref="G6:I7"/>
    <x:mergeCell ref="J5:L5"/>
    <x:mergeCell ref="J6:L7"/>
    <x:mergeCell ref="M5:P5"/>
    <x:mergeCell ref="M6:P7"/>
    <x:mergeCell ref="A10:C10"/>
    <x:mergeCell ref="A11:C12"/>
    <x:mergeCell ref="D10:F10"/>
    <x:mergeCell ref="D11:F12"/>
    <x:mergeCell ref="G10:I10"/>
    <x:mergeCell ref="G11:I12"/>
    <x:mergeCell ref="J10:L10"/>
    <x:mergeCell ref="J11:L12"/>
    <x:mergeCell ref="M10:P10"/>
    <x:mergeCell ref="M11:P12"/>
    <x:mergeCell ref="A15:D15"/>
    <x:mergeCell ref="A16:D17"/>
    <x:mergeCell ref="E15:H15"/>
    <x:mergeCell ref="E16:H17"/>
    <x:mergeCell ref="I15:L15"/>
    <x:mergeCell ref="I16:L17"/>
    <x:mergeCell ref="M15:P15"/>
    <x:mergeCell ref="M16:P17"/>
  </x:mergeCells>
  <x:pageMargins left="0.7" right="0.7" top="0.75" bottom="0.75" header="0.3" footer="0.3"/>
  <x:drawing xmlns:r="http://schemas.openxmlformats.org/officeDocument/2006/relationships" r:id="Rb2f0f3e90ff648d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46" hidden="0" customWidth="1"/>
  </x:cols>
  <x:sheetData>
    <x:row r="1" ht="27" customHeight="1">
      <x:c r="A1" s="3" t="str">
        <x:v>Frozen V0.6 fixture reproduction</x:v>
      </x:c>
      <x:c r="B1" s="3" t="str">
        <x:v>Frozen V0.6 fixture reproduction</x:v>
      </x:c>
      <x:c r="C1" s="3" t="str">
        <x:v>Frozen V0.6 fixture reproduction</x:v>
      </x:c>
      <x:c r="D1" s="3" t="str">
        <x:v>Frozen V0.6 fixture reproduction</x:v>
      </x:c>
    </x:row>
    <x:row r="2" ht="27" customHeight="1">
      <x:c r="A2" s="3" t="str">
        <x:v>Frozen V0.6 fixture reproduction</x:v>
      </x:c>
      <x:c r="B2" s="3" t="str">
        <x:v>Frozen V0.6 fixture reproduction</x:v>
      </x:c>
      <x:c r="C2" s="3" t="str">
        <x:v>Frozen V0.6 fixture reproduction</x:v>
      </x:c>
      <x:c r="D2" s="3" t="str">
        <x:v>Frozen V0.6 fixture reproduction</x:v>
      </x:c>
    </x:row>
    <x:row r="3" ht="32" customHeight="1">
      <x:c r="A3" s="7" t="str">
        <x:v>Exact deterministic reference values. Reproduction is software verification only.</x:v>
      </x:c>
      <x:c r="B3" s="7" t="str">
        <x:v>Exact deterministic reference values. Reproduction is software verification only.</x:v>
      </x:c>
      <x:c r="C3" s="7" t="str">
        <x:v>Exact deterministic reference values. Reproduction is software verification only.</x:v>
      </x:c>
      <x:c r="D3" s="7" t="str">
        <x:v>Exact deterministic reference values. Reproduction is software verification only.</x:v>
      </x:c>
    </x:row>
    <x:row r="5" ht="38" customHeight="1">
      <x:c r="A5" s="13" t="str">
        <x:v>metric</x:v>
      </x:c>
      <x:c r="B5" s="13" t="str">
        <x:v>value</x:v>
      </x:c>
      <x:c r="C5" s="13" t="str">
        <x:v>unit</x:v>
      </x:c>
      <x:c r="D5" s="13" t="str">
        <x:v>interpretation</x:v>
      </x:c>
    </x:row>
    <x:row r="6" ht="32" customHeight="1">
      <x:c r="A6" s="137" t="str">
        <x:v>secret_key_bits</x:v>
      </x:c>
      <x:c r="B6" s="140" t="n">
        <x:v>41338</x:v>
      </x:c>
      <x:c r="C6" s="137" t="str">
        <x:v>bits/pass</x:v>
      </x:c>
      <x:c r="D6" s="137" t="str">
        <x:v>Floored nonnegative modeled candidate; quarantined</x:v>
      </x:c>
    </x:row>
    <x:row r="7" ht="32" customHeight="1">
      <x:c r="A7" s="136" t="str">
        <x:v>signed_key_margin_bits</x:v>
      </x:c>
      <x:c r="B7" s="139" t="n">
        <x:v>41338.62418456675</x:v>
      </x:c>
      <x:c r="C7" s="136" t="str">
        <x:v>bits/pass</x:v>
      </x:c>
      <x:c r="D7" s="136" t="str">
        <x:v>Pre-clip finite-key expression; numerical diagnostic</x:v>
      </x:c>
    </x:row>
    <x:row r="8" ht="32" customHeight="1">
      <x:c r="A8" s="137" t="str">
        <x:v>half_window_s</x:v>
      </x:c>
      <x:c r="B8" s="140" t="n">
        <x:v>102</x:v>
      </x:c>
      <x:c r="C8" s="137" t="str">
        <x:v>s</x:v>
      </x:c>
      <x:c r="D8" s="137" t="str">
        <x:v>Selected from exhaustive 1–221 s integer screen</x:v>
      </x:c>
    </x:row>
    <x:row r="9" ht="32" customHeight="1">
      <x:c r="A9" s="136" t="str">
        <x:v>sample_bins</x:v>
      </x:c>
      <x:c r="B9" s="141" t="n">
        <x:v>205</x:v>
      </x:c>
      <x:c r="C9" s="136" t="str">
        <x:v>count</x:v>
      </x:c>
      <x:c r="D9" s="136" t="str">
        <x:v>Inclusive one-second bins</x:v>
      </x:c>
    </x:row>
    <x:row r="10" ht="32" customHeight="1">
      <x:c r="A10" s="137" t="str">
        <x:v>edge_elevation_deg</x:v>
      </x:c>
      <x:c r="B10" s="138" t="n">
        <x:v>30.4813547009598</x:v>
      </x:c>
      <x:c r="C10" s="137" t="str">
        <x:v>degree</x:v>
      </x:c>
      <x:c r="D10" s="137" t="str">
        <x:v>Reference-curve edge elevation</x:v>
      </x:c>
    </x:row>
    <x:row r="11" ht="32" customHeight="1">
      <x:c r="A11" s="136" t="str">
        <x:v>qber_x</x:v>
      </x:c>
      <x:c r="B11" s="139" t="n">
        <x:v>0.017422686665352745</x:v>
      </x:c>
      <x:c r="C11" s="136" t="str">
        <x:v>fraction</x:v>
      </x:c>
      <x:c r="D11" s="136" t="str">
        <x:v>Aggregate modeled X-basis QBER; not accepting alone</x:v>
      </x:c>
    </x:row>
    <x:row r="12" ht="32" customHeight="1">
      <x:c r="A12" s="137" t="str">
        <x:v>phase_error_x</x:v>
      </x:c>
      <x:c r="B12" s="138" t="n">
        <x:v>0.09270161340569935</x:v>
      </x:c>
      <x:c r="C12" s="137" t="str">
        <x:v>fraction</x:v>
      </x:c>
      <x:c r="D12" s="137" t="str">
        <x:v>Finite-key upper bound</x:v>
      </x:c>
    </x:row>
    <x:row r="13" ht="32" customHeight="1">
      <x:c r="A13" s="136" t="str">
        <x:v>n_x</x:v>
      </x:c>
      <x:c r="B13" s="139" t="n">
        <x:v>492818.0901525894</x:v>
      </x:c>
      <x:c r="C13" s="136" t="str">
        <x:v>events</x:v>
      </x:c>
      <x:c r="D13" s="136" t="str">
        <x:v>Expected X-basis detections</x:v>
      </x:c>
    </x:row>
    <x:row r="14" ht="32" customHeight="1">
      <x:c r="A14" s="137" t="str">
        <x:v>n_z</x:v>
      </x:c>
      <x:c r="B14" s="138" t="n">
        <x:v>48555.17200782972</x:v>
      </x:c>
      <x:c r="C14" s="137" t="str">
        <x:v>events</x:v>
      </x:c>
      <x:c r="D14" s="137" t="str">
        <x:v>Expected Z-basis detections</x:v>
      </x:c>
    </x:row>
    <x:row r="15" ht="32" customHeight="1">
      <x:c r="A15" s="136" t="str">
        <x:v>m_x</x:v>
      </x:c>
      <x:c r="B15" s="139" t="n">
        <x:v>8586.215167746126</x:v>
      </x:c>
      <x:c r="C15" s="136" t="str">
        <x:v>events</x:v>
      </x:c>
      <x:c r="D15" s="136" t="str">
        <x:v>Expected X-basis errors</x:v>
      </x:c>
    </x:row>
    <x:row r="16" ht="32" customHeight="1">
      <x:c r="A16" s="137" t="str">
        <x:v>lambda_ec_bits</x:v>
      </x:c>
      <x:c r="B16" s="138" t="n">
        <x:v>65385.40180119235</x:v>
      </x:c>
      <x:c r="C16" s="137" t="str">
        <x:v>bits</x:v>
      </x:c>
      <x:c r="D16" s="137" t="str">
        <x:v>Error-correction leakage estimate</x:v>
      </x:c>
    </x:row>
    <x:row r="17" ht="32" customHeight="1">
      <x:c r="A17" s="136" t="str">
        <x:v>s_x0</x:v>
      </x:c>
      <x:c r="B17" s="139" t="n">
        <x:v>5047.784882329125</x:v>
      </x:c>
      <x:c r="C17" s="136" t="str">
        <x:v>events</x:v>
      </x:c>
      <x:c r="D17" s="136" t="str">
        <x:v>Vacuum lower bound</x:v>
      </x:c>
    </x:row>
    <x:row r="18" ht="32" customHeight="1">
      <x:c r="A18" s="137" t="str">
        <x:v>s_x1</x:v>
      </x:c>
      <x:c r="B18" s="138" t="n">
        <x:v>183803.04893680647</x:v>
      </x:c>
      <x:c r="C18" s="137" t="str">
        <x:v>events</x:v>
      </x:c>
      <x:c r="D18" s="137" t="str">
        <x:v>Single-photon lower bound</x:v>
      </x:c>
    </x:row>
    <x:row r="19" ht="32" customHeight="1">
      <x:c r="A19" s="136" t="str">
        <x:v>v_z1</x:v>
      </x:c>
      <x:c r="B19" s="139" t="n">
        <x:v>845.9615478747239</x:v>
      </x:c>
      <x:c r="C19" s="136" t="str">
        <x:v>events</x:v>
      </x:c>
      <x:c r="D19" s="136" t="str">
        <x:v>Single-photon error upper-bound numerator</x:v>
      </x:c>
    </x:row>
    <x:row r="20" ht="32" customHeight="1">
      <x:c r="A20" s="137" t="str">
        <x:v>s_z1</x:v>
      </x:c>
      <x:c r="B20" s="138" t="n">
        <x:v>12007.470453438744</x:v>
      </x:c>
      <x:c r="C20" s="137" t="str">
        <x:v>events</x:v>
      </x:c>
      <x:c r="D20" s="137" t="str">
        <x:v>Z-basis single-photon lower bound</x:v>
      </x:c>
    </x:row>
    <x:row r="21" ht="32" customHeight="1">
      <x:c r="A21" s="136" t="str">
        <x:v>mean_photon_number</x:v>
      </x:c>
      <x:c r="B21" s="139" t="n">
        <x:v>0.62400964</x:v>
      </x:c>
      <x:c r="C21" s="136" t="str">
        <x:v>photons/pulse</x:v>
      </x:c>
      <x:c r="D21" s="136" t="str">
        <x:v>Frozen probability-weighted mean</x:v>
      </x:c>
    </x:row>
    <x:row r="22" ht="32" customHeight="1">
      <x:c r="A22" s="137" t="str">
        <x:v>finite_penalty_bits</x:v>
      </x:c>
      <x:c r="B22" s="138" t="n">
        <x:v>256.5669430839006</x:v>
      </x:c>
      <x:c r="C22" s="137" t="str">
        <x:v>bits</x:v>
      </x:c>
      <x:c r="D22" s="137" t="str">
        <x:v>Secrecy/correctness finite penalty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6" hidden="0" customWidth="1"/>
    <x:col min="11" max="11" width="28" hidden="0" customWidth="1"/>
  </x:cols>
  <x:sheetData>
    <x:row r="1" ht="27" customHeight="1">
      <x:c r="A1" s="3" t="str">
        <x:v>Mapped scalar parameter catalog</x:v>
      </x:c>
      <x:c r="B1" s="3" t="str">
        <x:v>Mapped scalar parameter catalog</x:v>
      </x:c>
      <x:c r="C1" s="3" t="str">
        <x:v>Mapped scalar parameter catalog</x:v>
      </x:c>
      <x:c r="D1" s="3" t="str">
        <x:v>Mapped scalar parameter catalog</x:v>
      </x:c>
      <x:c r="E1" s="3" t="str">
        <x:v>Mapped scalar parameter catalog</x:v>
      </x:c>
      <x:c r="F1" s="3" t="str">
        <x:v>Mapped scalar parameter catalog</x:v>
      </x:c>
      <x:c r="G1" s="3" t="str">
        <x:v>Mapped scalar parameter catalog</x:v>
      </x:c>
      <x:c r="H1" s="3" t="str">
        <x:v>Mapped scalar parameter catalog</x:v>
      </x:c>
      <x:c r="I1" s="3" t="str">
        <x:v>Mapped scalar parameter catalog</x:v>
      </x:c>
      <x:c r="J1" s="3" t="str">
        <x:v>Mapped scalar parameter catalog</x:v>
      </x:c>
      <x:c r="K1" s="3" t="str">
        <x:v>Mapped scalar parameter catalog</x:v>
      </x:c>
    </x:row>
    <x:row r="2" ht="27" customHeight="1">
      <x:c r="A2" s="3" t="str">
        <x:v>Mapped scalar parameter catalog</x:v>
      </x:c>
      <x:c r="B2" s="3" t="str">
        <x:v>Mapped scalar parameter catalog</x:v>
      </x:c>
      <x:c r="C2" s="3" t="str">
        <x:v>Mapped scalar parameter catalog</x:v>
      </x:c>
      <x:c r="D2" s="3" t="str">
        <x:v>Mapped scalar parameter catalog</x:v>
      </x:c>
      <x:c r="E2" s="3" t="str">
        <x:v>Mapped scalar parameter catalog</x:v>
      </x:c>
      <x:c r="F2" s="3" t="str">
        <x:v>Mapped scalar parameter catalog</x:v>
      </x:c>
      <x:c r="G2" s="3" t="str">
        <x:v>Mapped scalar parameter catalog</x:v>
      </x:c>
      <x:c r="H2" s="3" t="str">
        <x:v>Mapped scalar parameter catalog</x:v>
      </x:c>
      <x:c r="I2" s="3" t="str">
        <x:v>Mapped scalar parameter catalog</x:v>
      </x:c>
      <x:c r="J2" s="3" t="str">
        <x:v>Mapped scalar parameter catalog</x:v>
      </x:c>
      <x:c r="K2" s="3" t="str">
        <x:v>Mapped scalar parameter catalog</x:v>
      </x:c>
    </x:row>
    <x:row r="3" ht="32" customHeight="1">
      <x:c r="A3" s="7" t="str">
        <x:v>Only variables already present in the frozen software contract. Baselines are fixtures, not hardware values.</x:v>
      </x:c>
      <x:c r="B3" s="7" t="str">
        <x:v>Only variables already present in the frozen software contract. Baselines are fixtures, not hardware values.</x:v>
      </x:c>
      <x:c r="C3" s="7" t="str">
        <x:v>Only variables already present in the frozen software contract. Baselines are fixtures, not hardware values.</x:v>
      </x:c>
      <x:c r="D3" s="7" t="str">
        <x:v>Only variables already present in the frozen software contract. Baselines are fixtures, not hardware values.</x:v>
      </x:c>
      <x:c r="E3" s="7" t="str">
        <x:v>Only variables already present in the frozen software contract. Baselines are fixtures, not hardware values.</x:v>
      </x:c>
      <x:c r="F3" s="7" t="str">
        <x:v>Only variables already present in the frozen software contract. Baselines are fixtures, not hardware values.</x:v>
      </x:c>
      <x:c r="G3" s="7" t="str">
        <x:v>Only variables already present in the frozen software contract. Baselines are fixtures, not hardware values.</x:v>
      </x:c>
      <x:c r="H3" s="7" t="str">
        <x:v>Only variables already present in the frozen software contract. Baselines are fixtures, not hardware values.</x:v>
      </x:c>
      <x:c r="I3" s="7" t="str">
        <x:v>Only variables already present in the frozen software contract. Baselines are fixtures, not hardware values.</x:v>
      </x:c>
      <x:c r="J3" s="7" t="str">
        <x:v>Only variables already present in the frozen software contract. Baselines are fixtures, not hardware values.</x:v>
      </x:c>
      <x:c r="K3" s="7" t="str">
        <x:v>Only variables already present in the frozen software contract. Baselines are fixtures, not hardware values.</x:v>
      </x:c>
    </x:row>
    <x:row r="5" ht="38" customHeight="1">
      <x:c r="A5" s="13" t="str">
        <x:v>parameter_id</x:v>
      </x:c>
      <x:c r="B5" s="13" t="str">
        <x:v>parameter</x:v>
      </x:c>
      <x:c r="C5" s="13" t="str">
        <x:v>unit</x:v>
      </x:c>
      <x:c r="D5" s="13" t="str">
        <x:v>baseline_value</x:v>
      </x:c>
      <x:c r="E5" s="13" t="str">
        <x:v>local_step</x:v>
      </x:c>
      <x:c r="F5" s="13" t="str">
        <x:v>step_definition</x:v>
      </x:c>
      <x:c r="G5" s="13" t="str">
        <x:v>declared_lower_domain</x:v>
      </x:c>
      <x:c r="H5" s="13" t="str">
        <x:v>declared_upper_domain</x:v>
      </x:c>
      <x:c r="I5" s="13" t="str">
        <x:v>search_spacing</x:v>
      </x:c>
      <x:c r="J5" s="13" t="str">
        <x:v>interpretation</x:v>
      </x:c>
      <x:c r="K5" s="13" t="str">
        <x:v>claim_class</x:v>
      </x:c>
    </x:row>
    <x:row r="6" ht="38" customHeight="1">
      <x:c r="A6" s="137" t="str">
        <x:v>TH-PAR-001</x:v>
      </x:c>
      <x:c r="B6" s="137" t="str">
        <x:v>additional_system_loss_db</x:v>
      </x:c>
      <x:c r="C6" s="137" t="str">
        <x:v>dB</x:v>
      </x:c>
      <x:c r="D6" s="142" t="n">
        <x:v>13</x:v>
      </x:c>
      <x:c r="E6" s="142" t="n">
        <x:v>0.1</x:v>
      </x:c>
      <x:c r="F6" s="142" t="str">
        <x:v>additive ±0.1 dB</x:v>
      </x:c>
      <x:c r="G6" s="142" t="n">
        <x:v>0</x:v>
      </x:c>
      <x:c r="H6" s="137" t="n">
        <x:v>60</x:v>
      </x:c>
      <x:c r="I6" s="137" t="str">
        <x:v>linear</x:v>
      </x:c>
      <x:c r="J6" s="137" t="str">
        <x:v>Aggregate additional loss already present in the frozen model; not a decomposed terminal budget.</x:v>
      </x:c>
      <x:c r="K6" s="137" t="str">
        <x:v>SOFTWARE-CONTRACT-PARAMETER-NOT-HARDWARE-VALUE</x:v>
      </x:c>
    </x:row>
    <x:row r="7" ht="38" customHeight="1">
      <x:c r="A7" s="136" t="str">
        <x:v>TH-PAR-002</x:v>
      </x:c>
      <x:c r="B7" s="136" t="str">
        <x:v>detector_efficiency_multiplier</x:v>
      </x:c>
      <x:c r="C7" s="136" t="str">
        <x:v>dimensionless</x:v>
      </x:c>
      <x:c r="D7" s="143" t="n">
        <x:v>1</x:v>
      </x:c>
      <x:c r="E7" s="143" t="n">
        <x:v>0.01</x:v>
      </x:c>
      <x:c r="F7" s="143" t="str">
        <x:v>multiplicative ±1% of baseline</x:v>
      </x:c>
      <x:c r="G7" s="143" t="n">
        <x:v>0.001</x:v>
      </x:c>
      <x:c r="H7" s="136" t="n">
        <x:v>2</x:v>
      </x:c>
      <x:c r="I7" s="136" t="str">
        <x:v>log</x:v>
      </x:c>
      <x:c r="J7" s="136" t="str">
        <x:v>Relative multiplier on the aggregate curve; not an absolute detector efficiency.</x:v>
      </x:c>
      <x:c r="K7" s="136" t="str">
        <x:v>SOFTWARE-CONTRACT-PARAMETER-NOT-HARDWARE-VALUE</x:v>
      </x:c>
    </x:row>
    <x:row r="8" ht="38" customHeight="1">
      <x:c r="A8" s="137" t="str">
        <x:v>TH-PAR-003</x:v>
      </x:c>
      <x:c r="B8" s="137" t="str">
        <x:v>source_repetition_rate_hz</x:v>
      </x:c>
      <x:c r="C8" s="137" t="str">
        <x:v>Hz</x:v>
      </x:c>
      <x:c r="D8" s="142" t="n">
        <x:v>100000000</x:v>
      </x:c>
      <x:c r="E8" s="142" t="n">
        <x:v>1000000</x:v>
      </x:c>
      <x:c r="F8" s="142" t="str">
        <x:v>multiplicative ±1% of baseline</x:v>
      </x:c>
      <x:c r="G8" s="142" t="n">
        <x:v>1000</x:v>
      </x:c>
      <x:c r="H8" s="137" t="n">
        <x:v>1000000000</x:v>
      </x:c>
      <x:c r="I8" s="137" t="str">
        <x:v>log</x:v>
      </x:c>
      <x:c r="J8" s="137" t="str">
        <x:v>Clock-rate stress inside expected-count model; dead time and saturation remain unmapped.</x:v>
      </x:c>
      <x:c r="K8" s="137" t="str">
        <x:v>SOFTWARE-CONTRACT-PARAMETER-NOT-HARDWARE-VALUE</x:v>
      </x:c>
    </x:row>
    <x:row r="9" ht="38" customHeight="1">
      <x:c r="A9" s="136" t="str">
        <x:v>TH-PAR-004</x:v>
      </x:c>
      <x:c r="B9" s="136" t="str">
        <x:v>signal_intensity_multiplier</x:v>
      </x:c>
      <x:c r="C9" s="136" t="str">
        <x:v>dimensionless</x:v>
      </x:c>
      <x:c r="D9" s="143" t="n">
        <x:v>1</x:v>
      </x:c>
      <x:c r="E9" s="143" t="n">
        <x:v>0.01</x:v>
      </x:c>
      <x:c r="F9" s="143" t="str">
        <x:v>multiplicative ±1% of signal intensity</x:v>
      </x:c>
      <x:c r="G9" s="143" t="n">
        <x:v>0.21552464335311194</x:v>
      </x:c>
      <x:c r="H9" s="136" t="n">
        <x:v>5</x:v>
      </x:c>
      <x:c r="I9" s="136" t="str">
        <x:v>log</x:v>
      </x:c>
      <x:c r="J9" s="136" t="str">
        <x:v>Scales mu1 only while retaining the frozen Poisson/decoy algebra.</x:v>
      </x:c>
      <x:c r="K9" s="136" t="str">
        <x:v>SOFTWARE-CONTRACT-PARAMETER-NOT-HARDWARE-VALUE</x:v>
      </x:c>
    </x:row>
    <x:row r="10" ht="38" customHeight="1">
      <x:c r="A10" s="137" t="str">
        <x:v>TH-PAR-005</x:v>
      </x:c>
      <x:c r="B10" s="137" t="str">
        <x:v>decoy_intensity_multiplier</x:v>
      </x:c>
      <x:c r="C10" s="137" t="str">
        <x:v>dimensionless</x:v>
      </x:c>
      <x:c r="D10" s="142" t="n">
        <x:v>1</x:v>
      </x:c>
      <x:c r="E10" s="142" t="n">
        <x:v>0.01</x:v>
      </x:c>
      <x:c r="F10" s="142" t="str">
        <x:v>multiplicative ±1% of weak-decoy intensity</x:v>
      </x:c>
      <x:c r="G10" s="142" t="n">
        <x:v>0.001</x:v>
      </x:c>
      <x:c r="H10" s="137" t="n">
        <x:v>4.639840597539544</x:v>
      </x:c>
      <x:c r="I10" s="137" t="str">
        <x:v>log</x:v>
      </x:c>
      <x:c r="J10" s="137" t="str">
        <x:v>Scales mu2 only while retaining mu1 &gt; mu2 &gt; 0.</x:v>
      </x:c>
      <x:c r="K10" s="137" t="str">
        <x:v>SOFTWARE-CONTRACT-PARAMETER-NOT-HARDWARE-VALUE</x:v>
      </x:c>
    </x:row>
    <x:row r="11" ht="38" customHeight="1">
      <x:c r="A11" s="136" t="str">
        <x:v>TH-PAR-006</x:v>
      </x:c>
      <x:c r="B11" s="136" t="str">
        <x:v>extraneous_count_probability_per_pulse</x:v>
      </x:c>
      <x:c r="C11" s="136" t="str">
        <x:v>probability/pulse</x:v>
      </x:c>
      <x:c r="D11" s="143" t="n">
        <x:v>5e-7</x:v>
      </x:c>
      <x:c r="E11" s="143" t="n">
        <x:v>5e-9</x:v>
      </x:c>
      <x:c r="F11" s="143" t="str">
        <x:v>multiplicative ±1% of baseline</x:v>
      </x:c>
      <x:c r="G11" s="143" t="n">
        <x:v>1e-10</x:v>
      </x:c>
      <x:c r="H11" s="136" t="n">
        <x:v>0.05</x:v>
      </x:c>
      <x:c r="I11" s="136" t="str">
        <x:v>log</x:v>
      </x:c>
      <x:c r="J11" s="136" t="str">
        <x:v>IID aggregate background/dark-count term in the frozen model.</x:v>
      </x:c>
      <x:c r="K11" s="136" t="str">
        <x:v>SOFTWARE-CONTRACT-PARAMETER-NOT-HARDWARE-VALUE</x:v>
      </x:c>
    </x:row>
    <x:row r="12" ht="38" customHeight="1">
      <x:c r="A12" s="137" t="str">
        <x:v>TH-PAR-007</x:v>
      </x:c>
      <x:c r="B12" s="137" t="str">
        <x:v>afterpulse_probability</x:v>
      </x:c>
      <x:c r="C12" s="137" t="str">
        <x:v>probability/detection</x:v>
      </x:c>
      <x:c r="D12" s="142" t="n">
        <x:v>0.001</x:v>
      </x:c>
      <x:c r="E12" s="142" t="n">
        <x:v>0.00001</x:v>
      </x:c>
      <x:c r="F12" s="142" t="str">
        <x:v>multiplicative ±1% of baseline</x:v>
      </x:c>
      <x:c r="G12" s="142" t="n">
        <x:v>1e-8</x:v>
      </x:c>
      <x:c r="H12" s="137" t="n">
        <x:v>0.49</x:v>
      </x:c>
      <x:c r="I12" s="137" t="str">
        <x:v>log</x:v>
      </x:c>
      <x:c r="J12" s="137" t="str">
        <x:v>Scalar afterpulse approximation; detector-history dependence remains unmapped.</x:v>
      </x:c>
      <x:c r="K12" s="137" t="str">
        <x:v>SOFTWARE-CONTRACT-PARAMETER-NOT-HARDWARE-VALUE</x:v>
      </x:c>
    </x:row>
    <x:row r="13" ht="38" customHeight="1">
      <x:c r="A13" s="136" t="str">
        <x:v>TH-PAR-008</x:v>
      </x:c>
      <x:c r="B13" s="136" t="str">
        <x:v>intrinsic_qber_fraction</x:v>
      </x:c>
      <x:c r="C13" s="136" t="str">
        <x:v>fraction</x:v>
      </x:c>
      <x:c r="D13" s="143" t="n">
        <x:v>0.005</x:v>
      </x:c>
      <x:c r="E13" s="143" t="n">
        <x:v>0.00005</x:v>
      </x:c>
      <x:c r="F13" s="143" t="str">
        <x:v>multiplicative ±1% of baseline</x:v>
      </x:c>
      <x:c r="G13" s="143" t="n">
        <x:v>1e-8</x:v>
      </x:c>
      <x:c r="H13" s="136" t="n">
        <x:v>0.49</x:v>
      </x:c>
      <x:c r="I13" s="136" t="str">
        <x:v>log</x:v>
      </x:c>
      <x:c r="J13" s="136" t="str">
        <x:v>Aggregate state/measurement error term; it does not identify a physical mechanism.</x:v>
      </x:c>
      <x:c r="K13" s="136" t="str">
        <x:v>SOFTWARE-CONTRACT-PARAMETER-NOT-HARDWARE-VALUE</x:v>
      </x:c>
    </x:row>
  </x:sheetData>
  <x:mergeCells>
    <x:mergeCell ref="A1:K2"/>
    <x:mergeCell ref="A3:K3"/>
  </x:mergeCells>
  <x:conditionalFormatting sqref="K6:K13">
    <x:cfRule type="containsText" dxfId="0" priority="1" operator="containsText" text="PASS"/>
    <x:cfRule type="containsText" dxfId="1" priority="2" operator="containsText" text="POSITIVE"/>
    <x:cfRule type="containsText" dxfId="2" priority="3" operator="containsText" text="BLOCKED"/>
    <x:cfRule type="containsText" dxfId="3" priority="4" operator="containsText" text="PROHIBITED"/>
    <x:cfRule type="containsText" dxfId="4" priority="5" operator="containsText" text="NONPOSITIVE"/>
    <x:cfRule type="containsText" dxfId="5" priority="6" operator="containsText" text="NOT-"/>
    <x:cfRule type="containsText" dxfId="6" priority="7" operator="containsText" text="UNMAPPED"/>
    <x:cfRule type="containsText" dxfId="7" priority="8" operator="containsText" text="QUARANTIN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8" hidden="0" customWidth="1"/>
    <x:col min="20" max="20" width="18" hidden="0" customWidth="1"/>
  </x:cols>
  <x:sheetData>
    <x:row r="1" ht="27" customHeight="1">
      <x:c r="A1" s="3" t="str">
        <x:v>Local numerical response | eight scalar parameters</x:v>
      </x:c>
      <x:c r="B1" s="3" t="str">
        <x:v>Local numerical response | eight scalar parameters</x:v>
      </x:c>
      <x:c r="C1" s="3" t="str">
        <x:v>Local numerical response | eight scalar parameters</x:v>
      </x:c>
      <x:c r="D1" s="3" t="str">
        <x:v>Local numerical response | eight scalar parameters</x:v>
      </x:c>
      <x:c r="E1" s="3" t="str">
        <x:v>Local numerical response | eight scalar parameters</x:v>
      </x:c>
      <x:c r="F1" s="3" t="str">
        <x:v>Local numerical response | eight scalar parameters</x:v>
      </x:c>
      <x:c r="G1" s="3" t="str">
        <x:v>Local numerical response | eight scalar parameters</x:v>
      </x:c>
      <x:c r="H1" s="3" t="str">
        <x:v>Local numerical response | eight scalar parameters</x:v>
      </x:c>
      <x:c r="I1" s="3" t="str">
        <x:v>Local numerical response | eight scalar parameters</x:v>
      </x:c>
      <x:c r="J1" s="3" t="str">
        <x:v>Local numerical response | eight scalar parameters</x:v>
      </x:c>
      <x:c r="K1" s="3" t="str">
        <x:v>Local numerical response | eight scalar parameters</x:v>
      </x:c>
      <x:c r="L1" s="3" t="str">
        <x:v>Local numerical response | eight scalar parameters</x:v>
      </x:c>
      <x:c r="M1" s="3" t="str">
        <x:v>Local numerical response | eight scalar parameters</x:v>
      </x:c>
      <x:c r="N1" s="3" t="str">
        <x:v>Local numerical response | eight scalar parameters</x:v>
      </x:c>
      <x:c r="O1" s="3" t="str">
        <x:v>Local numerical response | eight scalar parameters</x:v>
      </x:c>
      <x:c r="P1" s="3" t="str">
        <x:v>Local numerical response | eight scalar parameters</x:v>
      </x:c>
      <x:c r="Q1" s="3" t="str">
        <x:v>Local numerical response | eight scalar parameters</x:v>
      </x:c>
      <x:c r="R1" s="3" t="str">
        <x:v>Local numerical response | eight scalar parameters</x:v>
      </x:c>
      <x:c r="S1" s="3" t="str">
        <x:v>Local numerical response | eight scalar parameters</x:v>
      </x:c>
      <x:c r="T1" s="3" t="str">
        <x:v>Local numerical response | eight scalar parameters</x:v>
      </x:c>
    </x:row>
    <x:row r="2" ht="27" customHeight="1">
      <x:c r="A2" s="3" t="str">
        <x:v>Local numerical response | eight scalar parameters</x:v>
      </x:c>
      <x:c r="B2" s="3" t="str">
        <x:v>Local numerical response | eight scalar parameters</x:v>
      </x:c>
      <x:c r="C2" s="3" t="str">
        <x:v>Local numerical response | eight scalar parameters</x:v>
      </x:c>
      <x:c r="D2" s="3" t="str">
        <x:v>Local numerical response | eight scalar parameters</x:v>
      </x:c>
      <x:c r="E2" s="3" t="str">
        <x:v>Local numerical response | eight scalar parameters</x:v>
      </x:c>
      <x:c r="F2" s="3" t="str">
        <x:v>Local numerical response | eight scalar parameters</x:v>
      </x:c>
      <x:c r="G2" s="3" t="str">
        <x:v>Local numerical response | eight scalar parameters</x:v>
      </x:c>
      <x:c r="H2" s="3" t="str">
        <x:v>Local numerical response | eight scalar parameters</x:v>
      </x:c>
      <x:c r="I2" s="3" t="str">
        <x:v>Local numerical response | eight scalar parameters</x:v>
      </x:c>
      <x:c r="J2" s="3" t="str">
        <x:v>Local numerical response | eight scalar parameters</x:v>
      </x:c>
      <x:c r="K2" s="3" t="str">
        <x:v>Local numerical response | eight scalar parameters</x:v>
      </x:c>
      <x:c r="L2" s="3" t="str">
        <x:v>Local numerical response | eight scalar parameters</x:v>
      </x:c>
      <x:c r="M2" s="3" t="str">
        <x:v>Local numerical response | eight scalar parameters</x:v>
      </x:c>
      <x:c r="N2" s="3" t="str">
        <x:v>Local numerical response | eight scalar parameters</x:v>
      </x:c>
      <x:c r="O2" s="3" t="str">
        <x:v>Local numerical response | eight scalar parameters</x:v>
      </x:c>
      <x:c r="P2" s="3" t="str">
        <x:v>Local numerical response | eight scalar parameters</x:v>
      </x:c>
      <x:c r="Q2" s="3" t="str">
        <x:v>Local numerical response | eight scalar parameters</x:v>
      </x:c>
      <x:c r="R2" s="3" t="str">
        <x:v>Local numerical response | eight scalar parameters</x:v>
      </x:c>
      <x:c r="S2" s="3" t="str">
        <x:v>Local numerical response | eight scalar parameters</x:v>
      </x:c>
      <x:c r="T2" s="3" t="str">
        <x:v>Local numerical response | eight scalar parameters</x:v>
      </x:c>
    </x:row>
    <x:row r="3" ht="32" customHeight="1">
      <x:c r="A3" s="7" t="str">
        <x:v>Loss uses ±0.1 dB; all other steps are ±1% relative. Ranking is local and step-dependent, not physical importance.</x:v>
      </x:c>
      <x:c r="B3" s="7" t="str">
        <x:v>Loss uses ±0.1 dB; all other steps are ±1% relative. Ranking is local and step-dependent, not physical importance.</x:v>
      </x:c>
      <x:c r="C3" s="7" t="str">
        <x:v>Loss uses ±0.1 dB; all other steps are ±1% relative. Ranking is local and step-dependent, not physical importance.</x:v>
      </x:c>
      <x:c r="D3" s="7" t="str">
        <x:v>Loss uses ±0.1 dB; all other steps are ±1% relative. Ranking is local and step-dependent, not physical importance.</x:v>
      </x:c>
      <x:c r="E3" s="7" t="str">
        <x:v>Loss uses ±0.1 dB; all other steps are ±1% relative. Ranking is local and step-dependent, not physical importance.</x:v>
      </x:c>
      <x:c r="F3" s="7" t="str">
        <x:v>Loss uses ±0.1 dB; all other steps are ±1% relative. Ranking is local and step-dependent, not physical importance.</x:v>
      </x:c>
      <x:c r="G3" s="7" t="str">
        <x:v>Loss uses ±0.1 dB; all other steps are ±1% relative. Ranking is local and step-dependent, not physical importance.</x:v>
      </x:c>
      <x:c r="H3" s="7" t="str">
        <x:v>Loss uses ±0.1 dB; all other steps are ±1% relative. Ranking is local and step-dependent, not physical importance.</x:v>
      </x:c>
      <x:c r="I3" s="7" t="str">
        <x:v>Loss uses ±0.1 dB; all other steps are ±1% relative. Ranking is local and step-dependent, not physical importance.</x:v>
      </x:c>
      <x:c r="J3" s="7" t="str">
        <x:v>Loss uses ±0.1 dB; all other steps are ±1% relative. Ranking is local and step-dependent, not physical importance.</x:v>
      </x:c>
      <x:c r="K3" s="7" t="str">
        <x:v>Loss uses ±0.1 dB; all other steps are ±1% relative. Ranking is local and step-dependent, not physical importance.</x:v>
      </x:c>
      <x:c r="L3" s="7" t="str">
        <x:v>Loss uses ±0.1 dB; all other steps are ±1% relative. Ranking is local and step-dependent, not physical importance.</x:v>
      </x:c>
      <x:c r="M3" s="7" t="str">
        <x:v>Loss uses ±0.1 dB; all other steps are ±1% relative. Ranking is local and step-dependent, not physical importance.</x:v>
      </x:c>
      <x:c r="N3" s="7" t="str">
        <x:v>Loss uses ±0.1 dB; all other steps are ±1% relative. Ranking is local and step-dependent, not physical importance.</x:v>
      </x:c>
      <x:c r="O3" s="7" t="str">
        <x:v>Loss uses ±0.1 dB; all other steps are ±1% relative. Ranking is local and step-dependent, not physical importance.</x:v>
      </x:c>
      <x:c r="P3" s="7" t="str">
        <x:v>Loss uses ±0.1 dB; all other steps are ±1% relative. Ranking is local and step-dependent, not physical importance.</x:v>
      </x:c>
      <x:c r="Q3" s="7" t="str">
        <x:v>Loss uses ±0.1 dB; all other steps are ±1% relative. Ranking is local and step-dependent, not physical importance.</x:v>
      </x:c>
      <x:c r="R3" s="7" t="str">
        <x:v>Loss uses ±0.1 dB; all other steps are ±1% relative. Ranking is local and step-dependent, not physical importance.</x:v>
      </x:c>
      <x:c r="S3" s="7" t="str">
        <x:v>Loss uses ±0.1 dB; all other steps are ±1% relative. Ranking is local and step-dependent, not physical importance.</x:v>
      </x:c>
      <x:c r="T3" s="7" t="str">
        <x:v>Loss uses ±0.1 dB; all other steps are ±1% relative. Ranking is local and step-dependent, not physical importance.</x:v>
      </x:c>
    </x:row>
    <x:row r="5" ht="38" customHeight="1">
      <x:c r="A5" s="13" t="str">
        <x:v>parameter_id</x:v>
      </x:c>
      <x:c r="B5" s="13" t="str">
        <x:v>parameter</x:v>
      </x:c>
      <x:c r="C5" s="13" t="str">
        <x:v>unit</x:v>
      </x:c>
      <x:c r="D5" s="13" t="str">
        <x:v>baseline_value</x:v>
      </x:c>
      <x:c r="E5" s="13" t="str">
        <x:v>step_definition</x:v>
      </x:c>
      <x:c r="F5" s="13" t="str">
        <x:v>minus_value</x:v>
      </x:c>
      <x:c r="G5" s="13" t="str">
        <x:v>plus_value</x:v>
      </x:c>
      <x:c r="H5" s="13" t="str">
        <x:v>minus_signed_margin_bits</x:v>
      </x:c>
      <x:c r="I5" s="13" t="str">
        <x:v>baseline_signed_margin_bits</x:v>
      </x:c>
      <x:c r="J5" s="13" t="str">
        <x:v>plus_signed_margin_bits</x:v>
      </x:c>
      <x:c r="K5" s="13" t="str">
        <x:v>central_margin_change_bits_per_declared_step</x:v>
      </x:c>
      <x:c r="L5" s="13" t="str">
        <x:v>normalized_response_per_declared_step</x:v>
      </x:c>
      <x:c r="M5" s="13" t="str">
        <x:v>minus_qber_x</x:v>
      </x:c>
      <x:c r="N5" s="13" t="str">
        <x:v>plus_qber_x</x:v>
      </x:c>
      <x:c r="O5" s="13" t="str">
        <x:v>minus_phase_error_x</x:v>
      </x:c>
      <x:c r="P5" s="13" t="str">
        <x:v>plus_phase_error_x</x:v>
      </x:c>
      <x:c r="Q5" s="13" t="str">
        <x:v>minus_half_window_s</x:v>
      </x:c>
      <x:c r="R5" s="13" t="str">
        <x:v>plus_half_window_s</x:v>
      </x:c>
      <x:c r="S5" s="13" t="str">
        <x:v>claim_class</x:v>
      </x:c>
      <x:c r="T5" s="13" t="str">
        <x:v>absolute_response_rank</x:v>
      </x:c>
    </x:row>
    <x:row r="6" ht="38" customHeight="1">
      <x:c r="A6" s="137" t="str">
        <x:v>TH-PAR-001</x:v>
      </x:c>
      <x:c r="B6" s="137" t="str">
        <x:v>additional_system_loss_db</x:v>
      </x:c>
      <x:c r="C6" s="137" t="str">
        <x:v>dB</x:v>
      </x:c>
      <x:c r="D6" s="142" t="n">
        <x:v>13</x:v>
      </x:c>
      <x:c r="E6" s="142" t="str">
        <x:v>additive ±0.1 dB</x:v>
      </x:c>
      <x:c r="F6" s="142" t="n">
        <x:v>12.9</x:v>
      </x:c>
      <x:c r="G6" s="142" t="n">
        <x:v>13.1</x:v>
      </x:c>
      <x:c r="H6" s="142" t="n">
        <x:v>44786.22507278204</x:v>
      </x:c>
      <x:c r="I6" s="142" t="n">
        <x:v>41338.62418456675</x:v>
      </x:c>
      <x:c r="J6" s="142" t="n">
        <x:v>37993.63685754028</x:v>
      </x:c>
      <x:c r="K6" s="142" t="n">
        <x:v>-3396.294107620881</x:v>
      </x:c>
      <x:c r="L6" s="144" t="n">
        <x:v>-0.08215788925285143</x:v>
      </x:c>
      <x:c r="M6" s="142" t="n">
        <x:v>0.017278902275474607</x:v>
      </x:c>
      <x:c r="N6" s="142" t="n">
        <x:v>0.01763049771075557</x:v>
      </x:c>
      <x:c r="O6" s="142" t="n">
        <x:v>0.09045074265759159</x:v>
      </x:c>
      <x:c r="P6" s="142" t="n">
        <x:v>0.09517945269985609</x:v>
      </x:c>
      <x:c r="Q6" s="142" t="n">
        <x:v>104</x:v>
      </x:c>
      <x:c r="R6" s="142" t="n">
        <x:v>101</x:v>
      </x:c>
      <x:c r="S6" s="137" t="str">
        <x:v>LOCAL-NUMERICAL-RESPONSE-NOT-PHYSICAL-SENSITIVITY</x:v>
      </x:c>
      <x:c r="T6" s="137" t="n">
        <x:v>1</x:v>
      </x:c>
    </x:row>
    <x:row r="7" ht="38" customHeight="1">
      <x:c r="A7" s="136" t="str">
        <x:v>TH-PAR-002</x:v>
      </x:c>
      <x:c r="B7" s="136" t="str">
        <x:v>detector_efficiency_multiplier</x:v>
      </x:c>
      <x:c r="C7" s="136" t="str">
        <x:v>dimensionless</x:v>
      </x:c>
      <x:c r="D7" s="143" t="n">
        <x:v>1</x:v>
      </x:c>
      <x:c r="E7" s="143" t="str">
        <x:v>multiplicative ±1% of baseline</x:v>
      </x:c>
      <x:c r="F7" s="143" t="n">
        <x:v>0.99</x:v>
      </x:c>
      <x:c r="G7" s="143" t="n">
        <x:v>1.01</x:v>
      </x:c>
      <x:c r="H7" s="143" t="n">
        <x:v>39866.65956094015</x:v>
      </x:c>
      <x:c r="I7" s="143" t="n">
        <x:v>41338.62418456675</x:v>
      </x:c>
      <x:c r="J7" s="143" t="n">
        <x:v>42816.05794291113</x:v>
      </x:c>
      <x:c r="K7" s="143" t="n">
        <x:v>1474.6991909854914</x:v>
      </x:c>
      <x:c r="L7" s="145" t="n">
        <x:v>0.035673639848324994</x:v>
      </x:c>
      <x:c r="M7" s="143" t="n">
        <x:v>0.01747784588792368</x:v>
      </x:c>
      <x:c r="N7" s="143" t="n">
        <x:v>0.01736875871227201</x:v>
      </x:c>
      <x:c r="O7" s="143" t="n">
        <x:v>0.09370641474621018</x:v>
      </x:c>
      <x:c r="P7" s="143" t="n">
        <x:v>0.09173096236129608</x:v>
      </x:c>
      <x:c r="Q7" s="143" t="n">
        <x:v>101</x:v>
      </x:c>
      <x:c r="R7" s="143" t="n">
        <x:v>103</x:v>
      </x:c>
      <x:c r="S7" s="136" t="str">
        <x:v>LOCAL-NUMERICAL-RESPONSE-NOT-PHYSICAL-SENSITIVITY</x:v>
      </x:c>
      <x:c r="T7" s="136" t="n">
        <x:v>2</x:v>
      </x:c>
    </x:row>
    <x:row r="8" ht="38" customHeight="1">
      <x:c r="A8" s="137" t="str">
        <x:v>TH-PAR-003</x:v>
      </x:c>
      <x:c r="B8" s="137" t="str">
        <x:v>source_repetition_rate_hz</x:v>
      </x:c>
      <x:c r="C8" s="137" t="str">
        <x:v>Hz</x:v>
      </x:c>
      <x:c r="D8" s="142" t="n">
        <x:v>100000000</x:v>
      </x:c>
      <x:c r="E8" s="142" t="str">
        <x:v>multiplicative ±1% of baseline</x:v>
      </x:c>
      <x:c r="F8" s="142" t="n">
        <x:v>99000000</x:v>
      </x:c>
      <x:c r="G8" s="142" t="n">
        <x:v>101000000</x:v>
      </x:c>
      <x:c r="H8" s="142" t="n">
        <x:v>40534.21260060782</x:v>
      </x:c>
      <x:c r="I8" s="142" t="n">
        <x:v>41338.62418456675</x:v>
      </x:c>
      <x:c r="J8" s="142" t="n">
        <x:v>42143.408393476515</x:v>
      </x:c>
      <x:c r="K8" s="142" t="n">
        <x:v>804.5978964343485</x:v>
      </x:c>
      <x:c r="L8" s="144" t="n">
        <x:v>0.01946358671353013</x:v>
      </x:c>
      <x:c r="M8" s="142" t="n">
        <x:v>0.017422686665352745</x:v>
      </x:c>
      <x:c r="N8" s="142" t="n">
        <x:v>0.01742268666535275</x:v>
      </x:c>
      <x:c r="O8" s="142" t="n">
        <x:v>0.09319040792068606</x:v>
      </x:c>
      <x:c r="P8" s="142" t="n">
        <x:v>0.0922243708893896</x:v>
      </x:c>
      <x:c r="Q8" s="142" t="n">
        <x:v>102</x:v>
      </x:c>
      <x:c r="R8" s="142" t="n">
        <x:v>102</x:v>
      </x:c>
      <x:c r="S8" s="137" t="str">
        <x:v>LOCAL-NUMERICAL-RESPONSE-NOT-PHYSICAL-SENSITIVITY</x:v>
      </x:c>
      <x:c r="T8" s="137" t="n">
        <x:v>3</x:v>
      </x:c>
    </x:row>
    <x:row r="9" ht="38" customHeight="1">
      <x:c r="A9" s="136" t="str">
        <x:v>TH-PAR-006</x:v>
      </x:c>
      <x:c r="B9" s="136" t="str">
        <x:v>extraneous_count_probability_per_pulse</x:v>
      </x:c>
      <x:c r="C9" s="136" t="str">
        <x:v>probability/pulse</x:v>
      </x:c>
      <x:c r="D9" s="143" t="n">
        <x:v>5e-7</x:v>
      </x:c>
      <x:c r="E9" s="143" t="str">
        <x:v>multiplicative ±1% of baseline</x:v>
      </x:c>
      <x:c r="F9" s="143" t="n">
        <x:v>4.95e-7</x:v>
      </x:c>
      <x:c r="G9" s="143" t="n">
        <x:v>5.049999999999999e-7</x:v>
      </x:c>
      <x:c r="H9" s="143" t="n">
        <x:v>42010.65201227139</x:v>
      </x:c>
      <x:c r="I9" s="143" t="n">
        <x:v>41338.62418456675</x:v>
      </x:c>
      <x:c r="J9" s="143" t="n">
        <x:v>40671.690135121506</x:v>
      </x:c>
      <x:c r="K9" s="143" t="n">
        <x:v>-669.4809385749431</x:v>
      </x:c>
      <x:c r="L9" s="145" t="n">
        <x:v>-0.016195046443390957</x:v>
      </x:c>
      <x:c r="M9" s="143" t="n">
        <x:v>0.017306258656579764</x:v>
      </x:c>
      <x:c r="N9" s="143" t="n">
        <x:v>0.01747668007844454</x:v>
      </x:c>
      <x:c r="O9" s="143" t="n">
        <x:v>0.09208286139305275</x:v>
      </x:c>
      <x:c r="P9" s="143" t="n">
        <x:v>0.09320658581591301</x:v>
      </x:c>
      <x:c r="Q9" s="143" t="n">
        <x:v>102</x:v>
      </x:c>
      <x:c r="R9" s="143" t="n">
        <x:v>101</x:v>
      </x:c>
      <x:c r="S9" s="136" t="str">
        <x:v>LOCAL-NUMERICAL-RESPONSE-NOT-PHYSICAL-SENSITIVITY</x:v>
      </x:c>
      <x:c r="T9" s="136" t="n">
        <x:v>4</x:v>
      </x:c>
    </x:row>
    <x:row r="10" ht="38" customHeight="1">
      <x:c r="A10" s="137" t="str">
        <x:v>TH-PAR-008</x:v>
      </x:c>
      <x:c r="B10" s="137" t="str">
        <x:v>intrinsic_qber_fraction</x:v>
      </x:c>
      <x:c r="C10" s="137" t="str">
        <x:v>fraction</x:v>
      </x:c>
      <x:c r="D10" s="142" t="n">
        <x:v>0.005</x:v>
      </x:c>
      <x:c r="E10" s="142" t="str">
        <x:v>multiplicative ±1% of baseline</x:v>
      </x:c>
      <x:c r="F10" s="142" t="n">
        <x:v>0.00495</x:v>
      </x:c>
      <x:c r="G10" s="142" t="n">
        <x:v>0.00505</x:v>
      </x:c>
      <x:c r="H10" s="142" t="n">
        <x:v>41620.597544075674</x:v>
      </x:c>
      <x:c r="I10" s="142" t="n">
        <x:v>41338.62418456675</x:v>
      </x:c>
      <x:c r="J10" s="142" t="n">
        <x:v>41060.97470562689</x:v>
      </x:c>
      <x:c r="K10" s="142" t="n">
        <x:v>-279.811419224392</x:v>
      </x:c>
      <x:c r="L10" s="144" t="n">
        <x:v>-0.006768764678164013</x:v>
      </x:c>
      <x:c r="M10" s="142" t="n">
        <x:v>0.017373941382495414</x:v>
      </x:c>
      <x:c r="N10" s="142" t="n">
        <x:v>0.017471431948210082</x:v>
      </x:c>
      <x:c r="O10" s="142" t="n">
        <x:v>0.09247641271592805</x:v>
      </x:c>
      <x:c r="P10" s="142" t="n">
        <x:v>0.0929267640065703</x:v>
      </x:c>
      <x:c r="Q10" s="142" t="n">
        <x:v>102</x:v>
      </x:c>
      <x:c r="R10" s="142" t="n">
        <x:v>102</x:v>
      </x:c>
      <x:c r="S10" s="137" t="str">
        <x:v>LOCAL-NUMERICAL-RESPONSE-NOT-PHYSICAL-SENSITIVITY</x:v>
      </x:c>
      <x:c r="T10" s="137" t="n">
        <x:v>5</x:v>
      </x:c>
    </x:row>
    <x:row r="11" ht="38" customHeight="1">
      <x:c r="A11" s="136" t="str">
        <x:v>TH-PAR-004</x:v>
      </x:c>
      <x:c r="B11" s="136" t="str">
        <x:v>signal_intensity_multiplier</x:v>
      </x:c>
      <x:c r="C11" s="136" t="str">
        <x:v>dimensionless</x:v>
      </x:c>
      <x:c r="D11" s="143" t="n">
        <x:v>1</x:v>
      </x:c>
      <x:c r="E11" s="143" t="str">
        <x:v>multiplicative ±1% of signal intensity</x:v>
      </x:c>
      <x:c r="F11" s="143" t="n">
        <x:v>0.99</x:v>
      </x:c>
      <x:c r="G11" s="143" t="n">
        <x:v>1.01</x:v>
      </x:c>
      <x:c r="H11" s="143" t="n">
        <x:v>41573.083626170854</x:v>
      </x:c>
      <x:c r="I11" s="143" t="n">
        <x:v>41338.62418456675</x:v>
      </x:c>
      <x:c r="J11" s="143" t="n">
        <x:v>41088.43938630494</x:v>
      </x:c>
      <x:c r="K11" s="143" t="n">
        <x:v>-242.3221199329564</x:v>
      </x:c>
      <x:c r="L11" s="145" t="n">
        <x:v>-0.005861881586843529</x:v>
      </x:c>
      <x:c r="M11" s="143" t="n">
        <x:v>0.017534553456547385</x:v>
      </x:c>
      <x:c r="N11" s="143" t="n">
        <x:v>0.01731287964539484</x:v>
      </x:c>
      <x:c r="O11" s="143" t="n">
        <x:v>0.09265766523161165</x:v>
      </x:c>
      <x:c r="P11" s="143" t="n">
        <x:v>0.09276044568684177</x:v>
      </x:c>
      <x:c r="Q11" s="143" t="n">
        <x:v>102</x:v>
      </x:c>
      <x:c r="R11" s="143" t="n">
        <x:v>102</x:v>
      </x:c>
      <x:c r="S11" s="136" t="str">
        <x:v>LOCAL-NUMERICAL-RESPONSE-NOT-PHYSICAL-SENSITIVITY</x:v>
      </x:c>
      <x:c r="T11" s="136" t="n">
        <x:v>6</x:v>
      </x:c>
    </x:row>
    <x:row r="12" ht="38" customHeight="1">
      <x:c r="A12" s="137" t="str">
        <x:v>TH-PAR-005</x:v>
      </x:c>
      <x:c r="B12" s="137" t="str">
        <x:v>decoy_intensity_multiplier</x:v>
      </x:c>
      <x:c r="C12" s="137" t="str">
        <x:v>dimensionless</x:v>
      </x:c>
      <x:c r="D12" s="142" t="n">
        <x:v>1</x:v>
      </x:c>
      <x:c r="E12" s="142" t="str">
        <x:v>multiplicative ±1% of weak-decoy intensity</x:v>
      </x:c>
      <x:c r="F12" s="142" t="n">
        <x:v>0.99</x:v>
      </x:c>
      <x:c r="G12" s="142" t="n">
        <x:v>1.01</x:v>
      </x:c>
      <x:c r="H12" s="142" t="n">
        <x:v>41366.09619965235</x:v>
      </x:c>
      <x:c r="I12" s="142" t="n">
        <x:v>41338.62418456675</x:v>
      </x:c>
      <x:c r="J12" s="142" t="n">
        <x:v>41305.16641934386</x:v>
      </x:c>
      <x:c r="K12" s="142" t="n">
        <x:v>-30.464890154242312</x:v>
      </x:c>
      <x:c r="L12" s="144" t="n">
        <x:v>-0.0007369594599526124</x:v>
      </x:c>
      <x:c r="M12" s="142" t="n">
        <x:v>0.01742825844168271</x:v>
      </x:c>
      <x:c r="N12" s="142" t="n">
        <x:v>0.017417120090348848</x:v>
      </x:c>
      <x:c r="O12" s="142" t="n">
        <x:v>0.09272817646569406</x:v>
      </x:c>
      <x:c r="P12" s="142" t="n">
        <x:v>0.09268191411601673</x:v>
      </x:c>
      <x:c r="Q12" s="142" t="n">
        <x:v>102</x:v>
      </x:c>
      <x:c r="R12" s="142" t="n">
        <x:v>102</x:v>
      </x:c>
      <x:c r="S12" s="137" t="str">
        <x:v>LOCAL-NUMERICAL-RESPONSE-NOT-PHYSICAL-SENSITIVITY</x:v>
      </x:c>
      <x:c r="T12" s="137" t="n">
        <x:v>7</x:v>
      </x:c>
    </x:row>
    <x:row r="13" ht="38" customHeight="1">
      <x:c r="A13" s="136" t="str">
        <x:v>TH-PAR-007</x:v>
      </x:c>
      <x:c r="B13" s="136" t="str">
        <x:v>afterpulse_probability</x:v>
      </x:c>
      <x:c r="C13" s="136" t="str">
        <x:v>probability/detection</x:v>
      </x:c>
      <x:c r="D13" s="143" t="n">
        <x:v>0.001</x:v>
      </x:c>
      <x:c r="E13" s="143" t="str">
        <x:v>multiplicative ±1% of baseline</x:v>
      </x:c>
      <x:c r="F13" s="143" t="n">
        <x:v>0.00099</x:v>
      </x:c>
      <x:c r="G13" s="143" t="n">
        <x:v>0.00101</x:v>
      </x:c>
      <x:c r="H13" s="143" t="n">
        <x:v>41366.79035237086</x:v>
      </x:c>
      <x:c r="I13" s="143" t="n">
        <x:v>41338.62418456675</x:v>
      </x:c>
      <x:c r="J13" s="143" t="n">
        <x:v>41314.49284914706</x:v>
      </x:c>
      <x:c r="K13" s="143" t="n">
        <x:v>-26.14875161190139</x:v>
      </x:c>
      <x:c r="L13" s="145" t="n">
        <x:v>-0.0006325501181450469</x:v>
      </x:c>
      <x:c r="M13" s="143" t="n">
        <x:v>0.017417855724850502</x:v>
      </x:c>
      <x:c r="N13" s="143" t="n">
        <x:v>0.017427517609232782</x:v>
      </x:c>
      <x:c r="O13" s="143" t="n">
        <x:v>0.09267977931611432</x:v>
      </x:c>
      <x:c r="P13" s="143" t="n">
        <x:v>0.09272344682514623</x:v>
      </x:c>
      <x:c r="Q13" s="143" t="n">
        <x:v>102</x:v>
      </x:c>
      <x:c r="R13" s="143" t="n">
        <x:v>102</x:v>
      </x:c>
      <x:c r="S13" s="136" t="str">
        <x:v>LOCAL-NUMERICAL-RESPONSE-NOT-PHYSICAL-SENSITIVITY</x:v>
      </x:c>
      <x:c r="T13" s="136" t="n">
        <x:v>8</x:v>
      </x:c>
    </x:row>
  </x:sheetData>
  <x:mergeCells>
    <x:mergeCell ref="A1:T2"/>
    <x:mergeCell ref="A3:T3"/>
  </x:mergeCells>
  <x:conditionalFormatting sqref="S6:S13">
    <x:cfRule type="containsText" dxfId="8" priority="1" operator="containsText" text="PASS"/>
    <x:cfRule type="containsText" dxfId="9" priority="2" operator="containsText" text="POSITIVE"/>
    <x:cfRule type="containsText" dxfId="10" priority="3" operator="containsText" text="BLOCKED"/>
    <x:cfRule type="containsText" dxfId="11" priority="4" operator="containsText" text="PROHIBITED"/>
    <x:cfRule type="containsText" dxfId="12" priority="5" operator="containsText" text="NONPOSITIVE"/>
    <x:cfRule type="containsText" dxfId="13" priority="6" operator="containsText" text="NOT-"/>
    <x:cfRule type="containsText" dxfId="14" priority="7" operator="containsText" text="UNMAPPED"/>
    <x:cfRule type="containsText" dxfId="15" priority="8" operator="containsText" text="QUARANTIN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28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46" hidden="0" customWidth="1"/>
  </x:cols>
  <x:sheetData>
    <x:row r="1" ht="27" customHeight="1">
      <x:c r="A1" s="3" t="str">
        <x:v>One-parameter signed-margin software frontiers</x:v>
      </x:c>
      <x:c r="B1" s="3" t="str">
        <x:v>One-parameter signed-margin software frontiers</x:v>
      </x:c>
      <x:c r="C1" s="3" t="str">
        <x:v>One-parameter signed-margin software frontiers</x:v>
      </x:c>
      <x:c r="D1" s="3" t="str">
        <x:v>One-parameter signed-margin software frontiers</x:v>
      </x:c>
      <x:c r="E1" s="3" t="str">
        <x:v>One-parameter signed-margin software frontiers</x:v>
      </x:c>
      <x:c r="F1" s="3" t="str">
        <x:v>One-parameter signed-margin software frontiers</x:v>
      </x:c>
      <x:c r="G1" s="3" t="str">
        <x:v>One-parameter signed-margin software frontiers</x:v>
      </x:c>
      <x:c r="H1" s="3" t="str">
        <x:v>One-parameter signed-margin software frontiers</x:v>
      </x:c>
      <x:c r="I1" s="3" t="str">
        <x:v>One-parameter signed-margin software frontiers</x:v>
      </x:c>
      <x:c r="J1" s="3" t="str">
        <x:v>One-parameter signed-margin software frontiers</x:v>
      </x:c>
      <x:c r="K1" s="3" t="str">
        <x:v>One-parameter signed-margin software frontiers</x:v>
      </x:c>
      <x:c r="L1" s="3" t="str">
        <x:v>One-parameter signed-margin software frontiers</x:v>
      </x:c>
      <x:c r="M1" s="3" t="str">
        <x:v>One-parameter signed-margin software frontiers</x:v>
      </x:c>
    </x:row>
    <x:row r="2" ht="27" customHeight="1">
      <x:c r="A2" s="3" t="str">
        <x:v>One-parameter signed-margin software frontiers</x:v>
      </x:c>
      <x:c r="B2" s="3" t="str">
        <x:v>One-parameter signed-margin software frontiers</x:v>
      </x:c>
      <x:c r="C2" s="3" t="str">
        <x:v>One-parameter signed-margin software frontiers</x:v>
      </x:c>
      <x:c r="D2" s="3" t="str">
        <x:v>One-parameter signed-margin software frontiers</x:v>
      </x:c>
      <x:c r="E2" s="3" t="str">
        <x:v>One-parameter signed-margin software frontiers</x:v>
      </x:c>
      <x:c r="F2" s="3" t="str">
        <x:v>One-parameter signed-margin software frontiers</x:v>
      </x:c>
      <x:c r="G2" s="3" t="str">
        <x:v>One-parameter signed-margin software frontiers</x:v>
      </x:c>
      <x:c r="H2" s="3" t="str">
        <x:v>One-parameter signed-margin software frontiers</x:v>
      </x:c>
      <x:c r="I2" s="3" t="str">
        <x:v>One-parameter signed-margin software frontiers</x:v>
      </x:c>
      <x:c r="J2" s="3" t="str">
        <x:v>One-parameter signed-margin software frontiers</x:v>
      </x:c>
      <x:c r="K2" s="3" t="str">
        <x:v>One-parameter signed-margin software frontiers</x:v>
      </x:c>
      <x:c r="L2" s="3" t="str">
        <x:v>One-parameter signed-margin software frontiers</x:v>
      </x:c>
      <x:c r="M2" s="3" t="str">
        <x:v>One-parameter signed-margin software frontiers</x:v>
      </x:c>
    </x:row>
    <x:row r="3" ht="32" customHeight="1">
      <x:c r="A3" s="7" t="str">
        <x:v>Every row freezes all other inputs and re-optimizes the half-window. Values are not requirements or acceptance thresholds.</x:v>
      </x:c>
      <x:c r="B3" s="7" t="str">
        <x:v>Every row freezes all other inputs and re-optimizes the half-window. Values are not requirements or acceptance thresholds.</x:v>
      </x:c>
      <x:c r="C3" s="7" t="str">
        <x:v>Every row freezes all other inputs and re-optimizes the half-window. Values are not requirements or acceptance thresholds.</x:v>
      </x:c>
      <x:c r="D3" s="7" t="str">
        <x:v>Every row freezes all other inputs and re-optimizes the half-window. Values are not requirements or acceptance thresholds.</x:v>
      </x:c>
      <x:c r="E3" s="7" t="str">
        <x:v>Every row freezes all other inputs and re-optimizes the half-window. Values are not requirements or acceptance thresholds.</x:v>
      </x:c>
      <x:c r="F3" s="7" t="str">
        <x:v>Every row freezes all other inputs and re-optimizes the half-window. Values are not requirements or acceptance thresholds.</x:v>
      </x:c>
      <x:c r="G3" s="7" t="str">
        <x:v>Every row freezes all other inputs and re-optimizes the half-window. Values are not requirements or acceptance thresholds.</x:v>
      </x:c>
      <x:c r="H3" s="7" t="str">
        <x:v>Every row freezes all other inputs and re-optimizes the half-window. Values are not requirements or acceptance thresholds.</x:v>
      </x:c>
      <x:c r="I3" s="7" t="str">
        <x:v>Every row freezes all other inputs and re-optimizes the half-window. Values are not requirements or acceptance thresholds.</x:v>
      </x:c>
      <x:c r="J3" s="7" t="str">
        <x:v>Every row freezes all other inputs and re-optimizes the half-window. Values are not requirements or acceptance thresholds.</x:v>
      </x:c>
      <x:c r="K3" s="7" t="str">
        <x:v>Every row freezes all other inputs and re-optimizes the half-window. Values are not requirements or acceptance thresholds.</x:v>
      </x:c>
      <x:c r="L3" s="7" t="str">
        <x:v>Every row freezes all other inputs and re-optimizes the half-window. Values are not requirements or acceptance thresholds.</x:v>
      </x:c>
      <x:c r="M3" s="7" t="str">
        <x:v>Every row freezes all other inputs and re-optimizes the half-window. Values are not requirements or acceptance thresholds.</x:v>
      </x:c>
    </x:row>
    <x:row r="5" ht="38" customHeight="1">
      <x:c r="A5" s="13" t="str">
        <x:v>parameter_id</x:v>
      </x:c>
      <x:c r="B5" s="13" t="str">
        <x:v>parameter</x:v>
      </x:c>
      <x:c r="C5" s="13" t="str">
        <x:v>side</x:v>
      </x:c>
      <x:c r="D5" s="13" t="str">
        <x:v>unit</x:v>
      </x:c>
      <x:c r="E5" s="13" t="str">
        <x:v>baseline_value</x:v>
      </x:c>
      <x:c r="F5" s="13" t="str">
        <x:v>declared_domain_endpoint</x:v>
      </x:c>
      <x:c r="G5" s="13" t="str">
        <x:v>frontier_state</x:v>
      </x:c>
      <x:c r="H5" s="13" t="str">
        <x:v>frontier_or_last_valid_value</x:v>
      </x:c>
      <x:c r="I5" s="13" t="str">
        <x:v>last_positive_signed_margin_bits</x:v>
      </x:c>
      <x:c r="J5" s="13" t="str">
        <x:v>optimized_half_window_s</x:v>
      </x:c>
      <x:c r="K5" s="13" t="str">
        <x:v>qber_x</x:v>
      </x:c>
      <x:c r="L5" s="13" t="str">
        <x:v>phase_error_x</x:v>
      </x:c>
      <x:c r="M5" s="13" t="str">
        <x:v>interpretation</x:v>
      </x:c>
    </x:row>
    <x:row r="6" ht="40" customHeight="1">
      <x:c r="A6" s="137" t="str">
        <x:v>TH-PAR-001</x:v>
      </x:c>
      <x:c r="B6" s="137" t="str">
        <x:v>additional_system_loss_db</x:v>
      </x:c>
      <x:c r="C6" s="137" t="str">
        <x:v>LOW</x:v>
      </x:c>
      <x:c r="D6" s="137" t="str">
        <x:v>dB</x:v>
      </x:c>
      <x:c r="E6" s="142" t="n">
        <x:v>13</x:v>
      </x:c>
      <x:c r="F6" s="142" t="n">
        <x:v>0</x:v>
      </x:c>
      <x:c r="G6" s="142" t="str">
        <x:v>NO-CROSSING-IN-DECLARED-DOMAIN</x:v>
      </x:c>
      <x:c r="H6" s="142" t="n">
        <x:v>0</x:v>
      </x:c>
      <x:c r="I6" s="142" t="n">
        <x:v>3854923.2009280236</x:v>
      </x:c>
      <x:c r="J6" s="142" t="n">
        <x:v>221</x:v>
      </x:c>
      <x:c r="K6" s="142" t="n">
        <x:v>0.006527442260591679</x:v>
      </x:c>
      <x:c r="L6" s="142" t="n">
        <x:v>0.015780330149818167</x:v>
      </x:c>
      <x:c r="M6" s="137" t="str">
        <x:v>One-parameter software-fixture frontier only; not a hardware acceptance threshold.</x:v>
      </x:c>
    </x:row>
    <x:row r="7" ht="40" customHeight="1">
      <x:c r="A7" s="136" t="str">
        <x:v>TH-PAR-001</x:v>
      </x:c>
      <x:c r="B7" s="136" t="str">
        <x:v>additional_system_loss_db</x:v>
      </x:c>
      <x:c r="C7" s="136" t="str">
        <x:v>HIGH</x:v>
      </x:c>
      <x:c r="D7" s="136" t="str">
        <x:v>dB</x:v>
      </x:c>
      <x:c r="E7" s="143" t="n">
        <x:v>13</x:v>
      </x:c>
      <x:c r="F7" s="143" t="n">
        <x:v>60</x:v>
      </x:c>
      <x:c r="G7" s="143" t="str">
        <x:v>CROSSING-FOUND</x:v>
      </x:c>
      <x:c r="H7" s="143" t="n">
        <x:v>14.507927510764345</x:v>
      </x:c>
      <x:c r="I7" s="143" t="n">
        <x:v>2.2333638918099723</x:v>
      </x:c>
      <x:c r="J7" s="143" t="n">
        <x:v>79</x:v>
      </x:c>
      <x:c r="K7" s="143" t="n">
        <x:v>0.02030178777077425</x:v>
      </x:c>
      <x:c r="L7" s="143" t="n">
        <x:v>0.14911993506955362</x:v>
      </x:c>
      <x:c r="M7" s="136" t="str">
        <x:v>One-parameter software-fixture frontier only; not a hardware acceptance threshold.</x:v>
      </x:c>
    </x:row>
    <x:row r="8" ht="40" customHeight="1">
      <x:c r="A8" s="137" t="str">
        <x:v>TH-PAR-002</x:v>
      </x:c>
      <x:c r="B8" s="137" t="str">
        <x:v>detector_efficiency_multiplier</x:v>
      </x:c>
      <x:c r="C8" s="137" t="str">
        <x:v>LOW</x:v>
      </x:c>
      <x:c r="D8" s="137" t="str">
        <x:v>dimensionless</x:v>
      </x:c>
      <x:c r="E8" s="142" t="n">
        <x:v>1</x:v>
      </x:c>
      <x:c r="F8" s="142" t="n">
        <x:v>0.001</x:v>
      </x:c>
      <x:c r="G8" s="142" t="str">
        <x:v>CROSSING-FOUND</x:v>
      </x:c>
      <x:c r="H8" s="142" t="n">
        <x:v>0.7066475976286939</x:v>
      </x:c>
      <x:c r="I8" s="142" t="n">
        <x:v>1.208638221305705</x:v>
      </x:c>
      <x:c r="J8" s="142" t="n">
        <x:v>79</x:v>
      </x:c>
      <x:c r="K8" s="142" t="n">
        <x:v>0.020301932035727954</x:v>
      </x:c>
      <x:c r="L8" s="142" t="n">
        <x:v>0.14912236423277622</x:v>
      </x:c>
      <x:c r="M8" s="137" t="str">
        <x:v>One-parameter software-fixture frontier only; not a hardware acceptance threshold.</x:v>
      </x:c>
    </x:row>
    <x:row r="9" ht="40" customHeight="1">
      <x:c r="A9" s="136" t="str">
        <x:v>TH-PAR-002</x:v>
      </x:c>
      <x:c r="B9" s="136" t="str">
        <x:v>detector_efficiency_multiplier</x:v>
      </x:c>
      <x:c r="C9" s="136" t="str">
        <x:v>HIGH</x:v>
      </x:c>
      <x:c r="D9" s="136" t="str">
        <x:v>dimensionless</x:v>
      </x:c>
      <x:c r="E9" s="143" t="n">
        <x:v>1</x:v>
      </x:c>
      <x:c r="F9" s="143" t="n">
        <x:v>2</x:v>
      </x:c>
      <x:c r="G9" s="143" t="str">
        <x:v>NO-CROSSING-IN-DECLARED-DOMAIN</x:v>
      </x:c>
      <x:c r="H9" s="143" t="n">
        <x:v>2</x:v>
      </x:c>
      <x:c r="I9" s="143" t="n">
        <x:v>205565.70232643915</x:v>
      </x:c>
      <x:c r="J9" s="143" t="n">
        <x:v>160</x:v>
      </x:c>
      <x:c r="K9" s="143" t="n">
        <x:v>0.013466340990210213</x:v>
      </x:c>
      <x:c r="L9" s="143" t="n">
        <x:v>0.05208389234534006</x:v>
      </x:c>
      <x:c r="M9" s="136" t="str">
        <x:v>One-parameter software-fixture frontier only; not a hardware acceptance threshold.</x:v>
      </x:c>
    </x:row>
    <x:row r="10" ht="40" customHeight="1">
      <x:c r="A10" s="137" t="str">
        <x:v>TH-PAR-003</x:v>
      </x:c>
      <x:c r="B10" s="137" t="str">
        <x:v>source_repetition_rate_hz</x:v>
      </x:c>
      <x:c r="C10" s="137" t="str">
        <x:v>LOW</x:v>
      </x:c>
      <x:c r="D10" s="137" t="str">
        <x:v>Hz</x:v>
      </x:c>
      <x:c r="E10" s="142" t="n">
        <x:v>100000000</x:v>
      </x:c>
      <x:c r="F10" s="142" t="n">
        <x:v>1000</x:v>
      </x:c>
      <x:c r="G10" s="142" t="str">
        <x:v>CROSSING-FOUND</x:v>
      </x:c>
      <x:c r="H10" s="142" t="n">
        <x:v>48667724.15475333</x:v>
      </x:c>
      <x:c r="I10" s="142" t="n">
        <x:v>2.8442726383510717</x:v>
      </x:c>
      <x:c r="J10" s="142" t="n">
        <x:v>97</x:v>
      </x:c>
      <x:c r="K10" s="142" t="n">
        <x:v>0.017115531349785343</x:v>
      </x:c>
      <x:c r="L10" s="142" t="n">
        <x:v>0.16168375316649583</x:v>
      </x:c>
      <x:c r="M10" s="137" t="str">
        <x:v>One-parameter software-fixture frontier only; not a hardware acceptance threshold.</x:v>
      </x:c>
    </x:row>
    <x:row r="11" ht="40" customHeight="1">
      <x:c r="A11" s="136" t="str">
        <x:v>TH-PAR-003</x:v>
      </x:c>
      <x:c r="B11" s="136" t="str">
        <x:v>source_repetition_rate_hz</x:v>
      </x:c>
      <x:c r="C11" s="136" t="str">
        <x:v>HIGH</x:v>
      </x:c>
      <x:c r="D11" s="136" t="str">
        <x:v>Hz</x:v>
      </x:c>
      <x:c r="E11" s="143" t="n">
        <x:v>100000000</x:v>
      </x:c>
      <x:c r="F11" s="143" t="n">
        <x:v>1000000000</x:v>
      </x:c>
      <x:c r="G11" s="143" t="str">
        <x:v>NO-CROSSING-IN-DECLARED-DOMAIN</x:v>
      </x:c>
      <x:c r="H11" s="143" t="n">
        <x:v>1000000000</x:v>
      </x:c>
      <x:c r="I11" s="143" t="n">
        <x:v>920380.7803782747</x:v>
      </x:c>
      <x:c r="J11" s="143" t="n">
        <x:v>132</x:v>
      </x:c>
      <x:c r="K11" s="143" t="n">
        <x:v>0.019334115705091724</x:v>
      </x:c>
      <x:c r="L11" s="143" t="n">
        <x:v>0.049200853741078354</x:v>
      </x:c>
      <x:c r="M11" s="136" t="str">
        <x:v>One-parameter software-fixture frontier only; not a hardware acceptance threshold.</x:v>
      </x:c>
    </x:row>
    <x:row r="12" ht="40" customHeight="1">
      <x:c r="A12" s="137" t="str">
        <x:v>TH-PAR-004</x:v>
      </x:c>
      <x:c r="B12" s="137" t="str">
        <x:v>signal_intensity_multiplier</x:v>
      </x:c>
      <x:c r="C12" s="137" t="str">
        <x:v>LOW</x:v>
      </x:c>
      <x:c r="D12" s="137" t="str">
        <x:v>dimensionless</x:v>
      </x:c>
      <x:c r="E12" s="142" t="n">
        <x:v>1</x:v>
      </x:c>
      <x:c r="F12" s="142" t="n">
        <x:v>0.21552464335311194</x:v>
      </x:c>
      <x:c r="G12" s="142" t="str">
        <x:v>CROSSING-FOUND</x:v>
      </x:c>
      <x:c r="H12" s="142" t="n">
        <x:v>0.44575037237285703</x:v>
      </x:c>
      <x:c r="I12" s="142" t="n">
        <x:v>1.0659958977377073</x:v>
      </x:c>
      <x:c r="J12" s="142" t="n">
        <x:v>94</x:v>
      </x:c>
      <x:c r="K12" s="142" t="n">
        <x:v>0.029104385366466645</x:v>
      </x:c>
      <x:c r="L12" s="142" t="n">
        <x:v>0.17861507377900393</x:v>
      </x:c>
      <x:c r="M12" s="137" t="str">
        <x:v>One-parameter software-fixture frontier only; not a hardware acceptance threshold.</x:v>
      </x:c>
    </x:row>
    <x:row r="13" ht="40" customHeight="1">
      <x:c r="A13" s="136" t="str">
        <x:v>TH-PAR-004</x:v>
      </x:c>
      <x:c r="B13" s="136" t="str">
        <x:v>signal_intensity_multiplier</x:v>
      </x:c>
      <x:c r="C13" s="136" t="str">
        <x:v>HIGH</x:v>
      </x:c>
      <x:c r="D13" s="136" t="str">
        <x:v>dimensionless</x:v>
      </x:c>
      <x:c r="E13" s="143" t="n">
        <x:v>1</x:v>
      </x:c>
      <x:c r="F13" s="143" t="n">
        <x:v>5</x:v>
      </x:c>
      <x:c r="G13" s="143" t="str">
        <x:v>CROSSING-FOUND</x:v>
      </x:c>
      <x:c r="H13" s="143" t="n">
        <x:v>1.6561059731919194</x:v>
      </x:c>
      <x:c r="I13" s="143" t="n">
        <x:v>1.0663029570423532e-8</x:v>
      </x:c>
      <x:c r="J13" s="143" t="n">
        <x:v>73</x:v>
      </x:c>
      <x:c r="K13" s="143" t="n">
        <x:v>0.011835522375127899</x:v>
      </x:c>
      <x:c r="L13" s="143" t="n">
        <x:v>0.12238175654148663</x:v>
      </x:c>
      <x:c r="M13" s="136" t="str">
        <x:v>One-parameter software-fixture frontier only; not a hardware acceptance threshold.</x:v>
      </x:c>
    </x:row>
    <x:row r="14" ht="40" customHeight="1">
      <x:c r="A14" s="137" t="str">
        <x:v>TH-PAR-005</x:v>
      </x:c>
      <x:c r="B14" s="137" t="str">
        <x:v>decoy_intensity_multiplier</x:v>
      </x:c>
      <x:c r="C14" s="137" t="str">
        <x:v>LOW</x:v>
      </x:c>
      <x:c r="D14" s="137" t="str">
        <x:v>dimensionless</x:v>
      </x:c>
      <x:c r="E14" s="142" t="n">
        <x:v>1</x:v>
      </x:c>
      <x:c r="F14" s="142" t="n">
        <x:v>0.001</x:v>
      </x:c>
      <x:c r="G14" s="142" t="str">
        <x:v>CROSSING-FOUND</x:v>
      </x:c>
      <x:c r="H14" s="142" t="n">
        <x:v>0.31670139119240703</x:v>
      </x:c>
      <x:c r="I14" s="142" t="n">
        <x:v>3.439720330788987e-8</x:v>
      </x:c>
      <x:c r="J14" s="142" t="n">
        <x:v>96</x:v>
      </x:c>
      <x:c r="K14" s="142" t="n">
        <x:v>0.017435890349746196</x:v>
      </x:c>
      <x:c r="L14" s="142" t="n">
        <x:v>0.16966901642203255</x:v>
      </x:c>
      <x:c r="M14" s="137" t="str">
        <x:v>One-parameter software-fixture frontier only; not a hardware acceptance threshold.</x:v>
      </x:c>
    </x:row>
    <x:row r="15" ht="40" customHeight="1">
      <x:c r="A15" s="136" t="str">
        <x:v>TH-PAR-005</x:v>
      </x:c>
      <x:c r="B15" s="136" t="str">
        <x:v>decoy_intensity_multiplier</x:v>
      </x:c>
      <x:c r="C15" s="136" t="str">
        <x:v>HIGH</x:v>
      </x:c>
      <x:c r="D15" s="136" t="str">
        <x:v>dimensionless</x:v>
      </x:c>
      <x:c r="E15" s="143" t="n">
        <x:v>1</x:v>
      </x:c>
      <x:c r="F15" s="143" t="n">
        <x:v>4.639840597539544</x:v>
      </x:c>
      <x:c r="G15" s="143" t="str">
        <x:v>CROSSING-FOUND</x:v>
      </x:c>
      <x:c r="H15" s="143" t="n">
        <x:v>2.295522216418342</x:v>
      </x:c>
      <x:c r="I15" s="143" t="n">
        <x:v>3.751665644813329e-12</x:v>
      </x:c>
      <x:c r="J15" s="143" t="n">
        <x:v>90</x:v>
      </x:c>
      <x:c r="K15" s="143" t="n">
        <x:v>0.016053493234125357</x:v>
      </x:c>
      <x:c r="L15" s="143" t="n">
        <x:v>0.14938689947315995</x:v>
      </x:c>
      <x:c r="M15" s="136" t="str">
        <x:v>One-parameter software-fixture frontier only; not a hardware acceptance threshold.</x:v>
      </x:c>
    </x:row>
    <x:row r="16" ht="40" customHeight="1">
      <x:c r="A16" s="137" t="str">
        <x:v>TH-PAR-006</x:v>
      </x:c>
      <x:c r="B16" s="137" t="str">
        <x:v>extraneous_count_probability_per_pulse</x:v>
      </x:c>
      <x:c r="C16" s="137" t="str">
        <x:v>LOW</x:v>
      </x:c>
      <x:c r="D16" s="137" t="str">
        <x:v>probability/pulse</x:v>
      </x:c>
      <x:c r="E16" s="142" t="n">
        <x:v>5e-7</x:v>
      </x:c>
      <x:c r="F16" s="142" t="n">
        <x:v>1e-10</x:v>
      </x:c>
      <x:c r="G16" s="142" t="str">
        <x:v>NO-CROSSING-IN-DECLARED-DOMAIN</x:v>
      </x:c>
      <x:c r="H16" s="142" t="n">
        <x:v>1e-10</x:v>
      </x:c>
      <x:c r="I16" s="142" t="n">
        <x:v>164733.3529158172</x:v>
      </x:c>
      <x:c r="J16" s="142" t="n">
        <x:v>221</x:v>
      </x:c>
      <x:c r="K16" s="142" t="n">
        <x:v>0.005499131699768695</x:v>
      </x:c>
      <x:c r="L16" s="142" t="n">
        <x:v>0.02781808364433367</x:v>
      </x:c>
      <x:c r="M16" s="137" t="str">
        <x:v>One-parameter software-fixture frontier only; not a hardware acceptance threshold.</x:v>
      </x:c>
    </x:row>
    <x:row r="17" ht="40" customHeight="1">
      <x:c r="A17" s="136" t="str">
        <x:v>TH-PAR-006</x:v>
      </x:c>
      <x:c r="B17" s="136" t="str">
        <x:v>extraneous_count_probability_per_pulse</x:v>
      </x:c>
      <x:c r="C17" s="136" t="str">
        <x:v>HIGH</x:v>
      </x:c>
      <x:c r="D17" s="136" t="str">
        <x:v>probability/pulse</x:v>
      </x:c>
      <x:c r="E17" s="143" t="n">
        <x:v>5e-7</x:v>
      </x:c>
      <x:c r="F17" s="143" t="n">
        <x:v>0.05</x:v>
      </x:c>
      <x:c r="G17" s="143" t="str">
        <x:v>CROSSING-FOUND</x:v>
      </x:c>
      <x:c r="H17" s="143" t="n">
        <x:v>8.958206093312436e-7</x:v>
      </x:c>
      <x:c r="I17" s="143" t="n">
        <x:v>0.000002880147917494469</x:v>
      </x:c>
      <x:c r="J17" s="143" t="n">
        <x:v>67</x:v>
      </x:c>
      <x:c r="K17" s="143" t="n">
        <x:v>0.022945743225429475</x:v>
      </x:c>
      <x:c r="L17" s="143" t="n">
        <x:v>0.14050630080257243</x:v>
      </x:c>
      <x:c r="M17" s="136" t="str">
        <x:v>One-parameter software-fixture frontier only; not a hardware acceptance threshold.</x:v>
      </x:c>
    </x:row>
    <x:row r="18" ht="40" customHeight="1">
      <x:c r="A18" s="137" t="str">
        <x:v>TH-PAR-007</x:v>
      </x:c>
      <x:c r="B18" s="137" t="str">
        <x:v>afterpulse_probability</x:v>
      </x:c>
      <x:c r="C18" s="137" t="str">
        <x:v>LOW</x:v>
      </x:c>
      <x:c r="D18" s="137" t="str">
        <x:v>probability/detection</x:v>
      </x:c>
      <x:c r="E18" s="142" t="n">
        <x:v>0.001</x:v>
      </x:c>
      <x:c r="F18" s="142" t="n">
        <x:v>1e-8</x:v>
      </x:c>
      <x:c r="G18" s="142" t="str">
        <x:v>NO-CROSSING-IN-DECLARED-DOMAIN</x:v>
      </x:c>
      <x:c r="H18" s="142" t="n">
        <x:v>1e-8</x:v>
      </x:c>
      <x:c r="I18" s="142" t="n">
        <x:v>44030.32970422721</x:v>
      </x:c>
      <x:c r="J18" s="142" t="n">
        <x:v>103</x:v>
      </x:c>
      <x:c r="K18" s="142" t="n">
        <x:v>0.0170016035166296</x:v>
      </x:c>
      <x:c r="L18" s="142" t="n">
        <x:v>0.09063572733358215</x:v>
      </x:c>
      <x:c r="M18" s="137" t="str">
        <x:v>One-parameter software-fixture frontier only; not a hardware acceptance threshold.</x:v>
      </x:c>
    </x:row>
    <x:row r="19" ht="40" customHeight="1">
      <x:c r="A19" s="136" t="str">
        <x:v>TH-PAR-007</x:v>
      </x:c>
      <x:c r="B19" s="136" t="str">
        <x:v>afterpulse_probability</x:v>
      </x:c>
      <x:c r="C19" s="136" t="str">
        <x:v>HIGH</x:v>
      </x:c>
      <x:c r="D19" s="136" t="str">
        <x:v>probability/detection</x:v>
      </x:c>
      <x:c r="E19" s="143" t="n">
        <x:v>0.001</x:v>
      </x:c>
      <x:c r="F19" s="143" t="n">
        <x:v>0.49</x:v>
      </x:c>
      <x:c r="G19" s="143" t="str">
        <x:v>CROSSING-FOUND</x:v>
      </x:c>
      <x:c r="H19" s="143" t="n">
        <x:v>0.018119606663556664</x:v>
      </x:c>
      <x:c r="I19" s="143" t="n">
        <x:v>3.3426181130236046</x:v>
      </x:c>
      <x:c r="J19" s="143" t="n">
        <x:v>81</x:v>
      </x:c>
      <x:c r="K19" s="143" t="n">
        <x:v>0.02446197686799983</x:v>
      </x:c>
      <x:c r="L19" s="143" t="n">
        <x:v>0.1300432492761181</x:v>
      </x:c>
      <x:c r="M19" s="136" t="str">
        <x:v>One-parameter software-fixture frontier only; not a hardware acceptance threshold.</x:v>
      </x:c>
    </x:row>
    <x:row r="20" ht="40" customHeight="1">
      <x:c r="A20" s="137" t="str">
        <x:v>TH-PAR-008</x:v>
      </x:c>
      <x:c r="B20" s="137" t="str">
        <x:v>intrinsic_qber_fraction</x:v>
      </x:c>
      <x:c r="C20" s="137" t="str">
        <x:v>LOW</x:v>
      </x:c>
      <x:c r="D20" s="137" t="str">
        <x:v>fraction</x:v>
      </x:c>
      <x:c r="E20" s="142" t="n">
        <x:v>0.005</x:v>
      </x:c>
      <x:c r="F20" s="142" t="n">
        <x:v>1e-8</x:v>
      </x:c>
      <x:c r="G20" s="142" t="str">
        <x:v>NO-CROSSING-IN-DECLARED-DOMAIN</x:v>
      </x:c>
      <x:c r="H20" s="142" t="n">
        <x:v>1e-8</x:v>
      </x:c>
      <x:c r="I20" s="142" t="n">
        <x:v>71094.9076208301</x:v>
      </x:c>
      <x:c r="J20" s="142" t="n">
        <x:v>111</x:v>
      </x:c>
      <x:c r="K20" s="142" t="n">
        <x:v>0.013116295797408799</x:v>
      </x:c>
      <x:c r="L20" s="142" t="n">
        <x:v>0.07147545635640773</x:v>
      </x:c>
      <x:c r="M20" s="137" t="str">
        <x:v>One-parameter software-fixture frontier only; not a hardware acceptance threshold.</x:v>
      </x:c>
    </x:row>
    <x:row r="21" ht="40" customHeight="1">
      <x:c r="A21" s="136" t="str">
        <x:v>TH-PAR-008</x:v>
      </x:c>
      <x:c r="B21" s="136" t="str">
        <x:v>intrinsic_qber_fraction</x:v>
      </x:c>
      <x:c r="C21" s="136" t="str">
        <x:v>HIGH</x:v>
      </x:c>
      <x:c r="D21" s="136" t="str">
        <x:v>fraction</x:v>
      </x:c>
      <x:c r="E21" s="143" t="n">
        <x:v>0.005</x:v>
      </x:c>
      <x:c r="F21" s="143" t="n">
        <x:v>0.49</x:v>
      </x:c>
      <x:c r="G21" s="143" t="str">
        <x:v>CROSSING-FOUND</x:v>
      </x:c>
      <x:c r="H21" s="143" t="n">
        <x:v>0.013335017073411072</x:v>
      </x:c>
      <x:c r="I21" s="143" t="n">
        <x:v>2.0301632452066087</x:v>
      </x:c>
      <x:c r="J21" s="143" t="n">
        <x:v>81</x:v>
      </x:c>
      <x:c r="K21" s="143" t="n">
        <x:v>0.02431261212362406</x:v>
      </x:c>
      <x:c r="L21" s="143" t="n">
        <x:v>0.13053937077875338</x:v>
      </x:c>
      <x:c r="M21" s="136" t="str">
        <x:v>One-parameter software-fixture frontier only; not a hardware acceptance threshold.</x:v>
      </x:c>
    </x:row>
  </x:sheetData>
  <x:mergeCells>
    <x:mergeCell ref="A1:M2"/>
    <x:mergeCell ref="A3:M3"/>
  </x:mergeCells>
  <x:conditionalFormatting sqref="G6:G21">
    <x:cfRule type="containsText" dxfId="16" priority="1" operator="containsText" text="PASS"/>
    <x:cfRule type="containsText" dxfId="17" priority="2" operator="containsText" text="POSITIVE"/>
    <x:cfRule type="containsText" dxfId="18" priority="3" operator="containsText" text="BLOCKED"/>
    <x:cfRule type="containsText" dxfId="19" priority="4" operator="containsText" text="PROHIBITED"/>
    <x:cfRule type="containsText" dxfId="20" priority="5" operator="containsText" text="NONPOSITIVE"/>
    <x:cfRule type="containsText" dxfId="21" priority="6" operator="containsText" text="NOT-"/>
    <x:cfRule type="containsText" dxfId="22" priority="7" operator="containsText" text="UNMAPPED"/>
    <x:cfRule type="containsText" dxfId="23" priority="8" operator="containsText" text="QUARANTIN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3" t="str">
        <x:v>Coupled p_ec / intrinsic-QBER screen summary</x:v>
      </x:c>
      <x:c r="B1" s="3" t="str">
        <x:v>Coupled p_ec / intrinsic-QBER screen summary</x:v>
      </x:c>
      <x:c r="C1" s="3" t="str">
        <x:v>Coupled p_ec / intrinsic-QBER screen summary</x:v>
      </x:c>
      <x:c r="D1" s="3" t="str">
        <x:v>Coupled p_ec / intrinsic-QBER screen summary</x:v>
      </x:c>
      <x:c r="E1" s="3" t="str">
        <x:v>Coupled p_ec / intrinsic-QBER screen summary</x:v>
      </x:c>
      <x:c r="F1" s="3" t="str">
        <x:v>Coupled p_ec / intrinsic-QBER screen summary</x:v>
      </x:c>
      <x:c r="G1" s="3" t="str">
        <x:v>Coupled p_ec / intrinsic-QBER screen summary</x:v>
      </x:c>
      <x:c r="H1" s="3" t="str">
        <x:v>Coupled p_ec / intrinsic-QBER screen summary</x:v>
      </x:c>
    </x:row>
    <x:row r="2" ht="27" customHeight="1">
      <x:c r="A2" s="3" t="str">
        <x:v>Coupled p_ec / intrinsic-QBER screen summary</x:v>
      </x:c>
      <x:c r="B2" s="3" t="str">
        <x:v>Coupled p_ec / intrinsic-QBER screen summary</x:v>
      </x:c>
      <x:c r="C2" s="3" t="str">
        <x:v>Coupled p_ec / intrinsic-QBER screen summary</x:v>
      </x:c>
      <x:c r="D2" s="3" t="str">
        <x:v>Coupled p_ec / intrinsic-QBER screen summary</x:v>
      </x:c>
      <x:c r="E2" s="3" t="str">
        <x:v>Coupled p_ec / intrinsic-QBER screen summary</x:v>
      </x:c>
      <x:c r="F2" s="3" t="str">
        <x:v>Coupled p_ec / intrinsic-QBER screen summary</x:v>
      </x:c>
      <x:c r="G2" s="3" t="str">
        <x:v>Coupled p_ec / intrinsic-QBER screen summary</x:v>
      </x:c>
      <x:c r="H2" s="3" t="str">
        <x:v>Coupled p_ec / intrinsic-QBER screen summary</x:v>
      </x:c>
    </x:row>
    <x:row r="3" ht="32" customHeight="1">
      <x:c r="A3" s="7" t="str">
        <x:v>V0.7 engineering ranges on a deterministic uniform grid. The grid fraction is not probability, reliability or availability.</x:v>
      </x:c>
      <x:c r="B3" s="7" t="str">
        <x:v>V0.7 engineering ranges on a deterministic uniform grid. The grid fraction is not probability, reliability or availability.</x:v>
      </x:c>
      <x:c r="C3" s="7" t="str">
        <x:v>V0.7 engineering ranges on a deterministic uniform grid. The grid fraction is not probability, reliability or availability.</x:v>
      </x:c>
      <x:c r="D3" s="7" t="str">
        <x:v>V0.7 engineering ranges on a deterministic uniform grid. The grid fraction is not probability, reliability or availability.</x:v>
      </x:c>
      <x:c r="E3" s="7" t="str">
        <x:v>V0.7 engineering ranges on a deterministic uniform grid. The grid fraction is not probability, reliability or availability.</x:v>
      </x:c>
      <x:c r="F3" s="7" t="str">
        <x:v>V0.7 engineering ranges on a deterministic uniform grid. The grid fraction is not probability, reliability or availability.</x:v>
      </x:c>
      <x:c r="G3" s="7" t="str">
        <x:v>V0.7 engineering ranges on a deterministic uniform grid. The grid fraction is not probability, reliability or availability.</x:v>
      </x:c>
      <x:c r="H3" s="7" t="str">
        <x:v>V0.7 engineering ranges on a deterministic uniform grid. The grid fraction is not probability, reliability or availability.</x:v>
      </x:c>
    </x:row>
    <x:row r="5" ht="38" customHeight="1">
      <x:c r="A5" s="13" t="str">
        <x:v>metric</x:v>
      </x:c>
      <x:c r="B5" s="13" t="str">
        <x:v>formula_value</x:v>
      </x:c>
      <x:c r="C5" s="13" t="str">
        <x:v>unit</x:v>
      </x:c>
      <x:c r="E5" s="13" t="str">
        <x:v>INTERPRETATION</x:v>
      </x:c>
      <x:c r="F5" s="13" t="str">
        <x:v>INTERPRETATION</x:v>
      </x:c>
      <x:c r="G5" s="13" t="str">
        <x:v>INTERPRETATION</x:v>
      </x:c>
      <x:c r="H5" s="13" t="str">
        <x:v>INTERPRETATION</x:v>
      </x:c>
    </x:row>
    <x:row r="6" ht="30" customHeight="1">
      <x:c r="A6" s="136" t="str">
        <x:v>Grid rows</x:v>
      </x:c>
      <x:c r="B6" s="141" t="n">
        <x:f>COUNTA('Grid Screen'!$A$6:$A$1686)</x:f>
        <x:v>1681</x:v>
      </x:c>
      <x:c r="C6" s="136" t="str">
        <x:v>count</x:v>
      </x:c>
      <x:c r="E6" s="151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F6" s="152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G6" s="152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H6" s="153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</x:row>
    <x:row r="7" ht="30" customHeight="1">
      <x:c r="A7" s="136" t="str">
        <x:v>Positive signed-margin rows</x:v>
      </x:c>
      <x:c r="B7" s="141" t="n">
        <x:f>COUNTIF('Grid Screen'!$I$6:$I$1686,"POSITIVE-MODEL-MARGIN")</x:f>
        <x:v>568</x:v>
      </x:c>
      <x:c r="C7" s="136" t="str">
        <x:v>count</x:v>
      </x:c>
      <x:c r="E7" s="154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F7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G7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H7" s="155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</x:row>
    <x:row r="8" ht="30" customHeight="1">
      <x:c r="A8" s="136" t="str">
        <x:v>Nonpositive signed-margin rows</x:v>
      </x:c>
      <x:c r="B8" s="141" t="n">
        <x:f>COUNTIF('Grid Screen'!$I$6:$I$1686,"NONPOSITIVE-MODEL-MARGIN")</x:f>
        <x:v>1113</x:v>
      </x:c>
      <x:c r="C8" s="136" t="str">
        <x:v>count</x:v>
      </x:c>
      <x:c r="E8" s="154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F8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G8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H8" s="155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</x:row>
    <x:row r="9" ht="30" customHeight="1">
      <x:c r="A9" s="136" t="str">
        <x:v>Positive grid fraction</x:v>
      </x:c>
      <x:c r="B9" s="146" t="n">
        <x:f>B7/B6</x:f>
        <x:v>0.33789411064842356</x:v>
      </x:c>
      <x:c r="C9" s="136" t="str">
        <x:v>fraction</x:v>
      </x:c>
      <x:c r="E9" s="154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F9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G9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H9" s="155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</x:row>
    <x:row r="10" ht="30" customHeight="1">
      <x:c r="A10" s="136" t="str">
        <x:v>Median signed margin</x:v>
      </x:c>
      <x:c r="B10" s="147" t="n">
        <x:f>MEDIAN('Grid Screen'!$E$6:$E$1686)</x:f>
        <x:v>-2624.946810258186</x:v>
      </x:c>
      <x:c r="C10" s="136" t="str">
        <x:v>bits</x:v>
      </x:c>
      <x:c r="E10" s="154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F10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G10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H10" s="155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</x:row>
    <x:row r="11" ht="30" customHeight="1">
      <x:c r="A11" s="136" t="str">
        <x:v>Minimum signed margin</x:v>
      </x:c>
      <x:c r="B11" s="147" t="n">
        <x:f>MIN('Grid Screen'!$E$6:$E$1686)</x:f>
        <x:v>-3828.414517626367</x:v>
      </x:c>
      <x:c r="C11" s="136" t="str">
        <x:v>bits</x:v>
      </x:c>
      <x:c r="E11" s="154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F11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G11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H11" s="155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</x:row>
    <x:row r="12" ht="30" customHeight="1">
      <x:c r="A12" s="136" t="str">
        <x:v>Maximum signed margin</x:v>
      </x:c>
      <x:c r="B12" s="147" t="n">
        <x:f>MAX('Grid Screen'!$E$6:$E$1686)</x:f>
        <x:v>142540.7481180454</x:v>
      </x:c>
      <x:c r="C12" s="136" t="str">
        <x:v>bits</x:v>
      </x:c>
      <x:c r="E12" s="154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F12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G12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H12" s="155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</x:row>
    <x:row r="13" ht="30" customHeight="1">
      <x:c r="A13" s="136" t="str">
        <x:v>Minimum p_ec</x:v>
      </x:c>
      <x:c r="B13" s="143" t="n">
        <x:f>MIN('Grid Screen'!$B$6:$B$1686)</x:f>
        <x:v>1e-7</x:v>
      </x:c>
      <x:c r="C13" s="136" t="str">
        <x:v>probability/pulse</x:v>
      </x:c>
      <x:c r="E13" s="154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F13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G13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H13" s="155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</x:row>
    <x:row r="14" ht="30" customHeight="1">
      <x:c r="A14" s="136" t="str">
        <x:v>Maximum p_ec</x:v>
      </x:c>
      <x:c r="B14" s="143" t="n">
        <x:f>MAX('Grid Screen'!$B$6:$B$1686)</x:f>
        <x:v>0.000002</x:v>
      </x:c>
      <x:c r="C14" s="136" t="str">
        <x:v>probability/pulse</x:v>
      </x:c>
      <x:c r="E14" s="154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F14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G14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H14" s="155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</x:row>
    <x:row r="15" ht="30" customHeight="1">
      <x:c r="A15" s="136" t="str">
        <x:v>Minimum intrinsic QBER</x:v>
      </x:c>
      <x:c r="B15" s="145" t="n">
        <x:f>MIN('Grid Screen'!$C$6:$C$1686)</x:f>
        <x:v>0.003</x:v>
      </x:c>
      <x:c r="C15" s="136" t="str">
        <x:v>fraction</x:v>
      </x:c>
      <x:c r="E15" s="154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F15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G15" s="150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H15" s="155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</x:row>
    <x:row r="16" ht="30" customHeight="1">
      <x:c r="A16" s="136" t="str">
        <x:v>Maximum intrinsic QBER</x:v>
      </x:c>
      <x:c r="B16" s="145" t="n">
        <x:f>MAX('Grid Screen'!$C$6:$C$1686)</x:f>
        <x:v>0.015</x:v>
      </x:c>
      <x:c r="C16" s="136" t="str">
        <x:v>fraction</x:v>
      </x:c>
      <x:c r="E16" s="156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F16" s="157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G16" s="157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  <x:c r="H16" s="158" t="str">
        <x:v>The screen evaluates a bounded two-parameter design space while every other fixture input is held fixed. A positive point means only that the signed finite-key expression is positive after half-window re-optimization. The grid is not a statistical ensemble and its positive share must never be used as a probability. The boundary sheet reports the highest positive intrinsic-QBER grid point for each p_ec value; blank means no positive point at that grid resolution.</x:v>
      </x:c>
    </x:row>
  </x:sheetData>
  <x:mergeCells>
    <x:mergeCell ref="A1:H2"/>
    <x:mergeCell ref="A3:H3"/>
    <x:mergeCell ref="E5:H5"/>
    <x:mergeCell ref="E6:H1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3" hidden="0" customWidth="1"/>
    <x:col min="7" max="7" width="24" hidden="0" customWidth="1"/>
    <x:col min="8" max="8" width="24" hidden="0" customWidth="1"/>
  </x:cols>
  <x:sheetData>
    <x:row r="1" ht="27" customHeight="1">
      <x:c r="A1" s="3" t="str">
        <x:v>Grid-resolution positive-margin boundary</x:v>
      </x:c>
      <x:c r="B1" s="3" t="str">
        <x:v>Grid-resolution positive-margin boundary</x:v>
      </x:c>
      <x:c r="C1" s="3" t="str">
        <x:v>Grid-resolution positive-margin boundary</x:v>
      </x:c>
      <x:c r="D1" s="3" t="str">
        <x:v>Grid-resolution positive-margin boundary</x:v>
      </x:c>
      <x:c r="E1" s="3" t="str">
        <x:v>Grid-resolution positive-margin boundary</x:v>
      </x:c>
    </x:row>
    <x:row r="2" ht="27" customHeight="1">
      <x:c r="A2" s="3" t="str">
        <x:v>Grid-resolution positive-margin boundary</x:v>
      </x:c>
      <x:c r="B2" s="3" t="str">
        <x:v>Grid-resolution positive-margin boundary</x:v>
      </x:c>
      <x:c r="C2" s="3" t="str">
        <x:v>Grid-resolution positive-margin boundary</x:v>
      </x:c>
      <x:c r="D2" s="3" t="str">
        <x:v>Grid-resolution positive-margin boundary</x:v>
      </x:c>
      <x:c r="E2" s="3" t="str">
        <x:v>Grid-resolution positive-margin boundary</x:v>
      </x:c>
    </x:row>
    <x:row r="3" ht="32" customHeight="1">
      <x:c r="A3" s="7" t="str">
        <x:v>Blank boundary values mean no positive intrinsic-QBER point at that p_ec within the declared 41-point grid.</x:v>
      </x:c>
      <x:c r="B3" s="7" t="str">
        <x:v>Blank boundary values mean no positive intrinsic-QBER point at that p_ec within the declared 41-point grid.</x:v>
      </x:c>
      <x:c r="C3" s="7" t="str">
        <x:v>Blank boundary values mean no positive intrinsic-QBER point at that p_ec within the declared 41-point grid.</x:v>
      </x:c>
      <x:c r="D3" s="7" t="str">
        <x:v>Blank boundary values mean no positive intrinsic-QBER point at that p_ec within the declared 41-point grid.</x:v>
      </x:c>
      <x:c r="E3" s="7" t="str">
        <x:v>Blank boundary values mean no positive intrinsic-QBER point at that p_ec within the declared 41-point grid.</x:v>
      </x:c>
    </x:row>
    <x:row r="5" ht="38" customHeight="1">
      <x:c r="A5" s="13" t="str">
        <x:v>extraneous_count_probability_per_pulse</x:v>
      </x:c>
      <x:c r="B5" s="13" t="str">
        <x:v>highest_grid_intrinsic_qber_with_positive_margin</x:v>
      </x:c>
      <x:c r="C5" s="13" t="str">
        <x:v>positive_intrinsic_grid_points</x:v>
      </x:c>
      <x:c r="D5" s="13" t="str">
        <x:v>intrinsic_grid_point_count</x:v>
      </x:c>
      <x:c r="E5" s="13" t="str">
        <x:v>boundary_class</x:v>
      </x:c>
      <x:c r="G5" s="13" t="str">
        <x:v>p_ec chart helper</x:v>
      </x:c>
      <x:c r="H5" s="13" t="str">
        <x:v>positive-QBER chart helper</x:v>
      </x:c>
    </x:row>
    <x:row r="6" ht="26" customHeight="1">
      <x:c r="A6" s="142" t="n">
        <x:v>1e-7</x:v>
      </x:c>
      <x:c r="B6" s="144" t="n">
        <x:v>0.015</x:v>
      </x:c>
      <x:c r="C6" s="137" t="n">
        <x:v>41</x:v>
      </x:c>
      <x:c r="D6" s="137" t="n">
        <x:v>41</x:v>
      </x:c>
      <x:c r="E6" s="137" t="str">
        <x:v>GRID-RESOLUTION-NOT-ANALYTIC-THRESHOLD</x:v>
      </x:c>
      <x:c r="G6" s="159" t="n">
        <x:f>'Grid Boundary'!A6</x:f>
        <x:v>1e-7</x:v>
      </x:c>
      <x:c r="H6" s="146" t="n">
        <x:f>'Grid Boundary'!B6</x:f>
        <x:v>0.015</x:v>
      </x:c>
    </x:row>
    <x:row r="7" ht="26" customHeight="1">
      <x:c r="A7" s="143" t="n">
        <x:v>1.4871794871794872e-7</x:v>
      </x:c>
      <x:c r="B7" s="145" t="n">
        <x:v>0.015</x:v>
      </x:c>
      <x:c r="C7" s="136" t="n">
        <x:v>41</x:v>
      </x:c>
      <x:c r="D7" s="136" t="n">
        <x:v>41</x:v>
      </x:c>
      <x:c r="E7" s="136" t="str">
        <x:v>GRID-RESOLUTION-NOT-ANALYTIC-THRESHOLD</x:v>
      </x:c>
      <x:c r="G7" s="159" t="n">
        <x:f>'Grid Boundary'!A10</x:f>
        <x:v>2.948717948717949e-7</x:v>
      </x:c>
      <x:c r="H7" s="146" t="n">
        <x:f>'Grid Boundary'!B10</x:f>
        <x:v>0.015</x:v>
      </x:c>
    </x:row>
    <x:row r="8" ht="26" customHeight="1">
      <x:c r="A8" s="142" t="n">
        <x:v>1.9743589743589744e-7</x:v>
      </x:c>
      <x:c r="B8" s="144" t="n">
        <x:v>0.015</x:v>
      </x:c>
      <x:c r="C8" s="137" t="n">
        <x:v>41</x:v>
      </x:c>
      <x:c r="D8" s="137" t="n">
        <x:v>41</x:v>
      </x:c>
      <x:c r="E8" s="137" t="str">
        <x:v>GRID-RESOLUTION-NOT-ANALYTIC-THRESHOLD</x:v>
      </x:c>
      <x:c r="G8" s="159" t="n">
        <x:f>'Grid Boundary'!A14</x:f>
        <x:v>4.897435897435897e-7</x:v>
      </x:c>
      <x:c r="H8" s="146" t="n">
        <x:f>'Grid Boundary'!B14</x:f>
        <x:v>0.013461538461538462</x:v>
      </x:c>
    </x:row>
    <x:row r="9" ht="26" customHeight="1">
      <x:c r="A9" s="143" t="n">
        <x:v>2.461538461538461e-7</x:v>
      </x:c>
      <x:c r="B9" s="145" t="n">
        <x:v>0.015</x:v>
      </x:c>
      <x:c r="C9" s="136" t="n">
        <x:v>41</x:v>
      </x:c>
      <x:c r="D9" s="136" t="n">
        <x:v>41</x:v>
      </x:c>
      <x:c r="E9" s="136" t="str">
        <x:v>GRID-RESOLUTION-NOT-ANALYTIC-THRESHOLD</x:v>
      </x:c>
      <x:c r="G9" s="159" t="n">
        <x:f>'Grid Boundary'!A18</x:f>
        <x:v>6.358974358974359e-7</x:v>
      </x:c>
      <x:c r="H9" s="146" t="n">
        <x:f>'Grid Boundary'!B18</x:f>
        <x:v>0.010076923076923077</x:v>
      </x:c>
    </x:row>
    <x:row r="10" ht="26" customHeight="1">
      <x:c r="A10" s="142" t="n">
        <x:v>2.948717948717949e-7</x:v>
      </x:c>
      <x:c r="B10" s="144" t="n">
        <x:v>0.015</x:v>
      </x:c>
      <x:c r="C10" s="137" t="n">
        <x:v>41</x:v>
      </x:c>
      <x:c r="D10" s="137" t="n">
        <x:v>41</x:v>
      </x:c>
      <x:c r="E10" s="137" t="str">
        <x:v>GRID-RESOLUTION-NOT-ANALYTIC-THRESHOLD</x:v>
      </x:c>
      <x:c r="G10" s="159" t="n">
        <x:f>'Grid Boundary'!A22</x:f>
        <x:v>8.307692307692308e-7</x:v>
      </x:c>
      <x:c r="H10" s="146" t="n">
        <x:f>'Grid Boundary'!B22</x:f>
        <x:v>0.006076923076923077</x:v>
      </x:c>
    </x:row>
    <x:row r="11" ht="26" customHeight="1">
      <x:c r="A11" s="143" t="n">
        <x:v>3.4358974358974356e-7</x:v>
      </x:c>
      <x:c r="B11" s="145" t="n">
        <x:v>0.015</x:v>
      </x:c>
      <x:c r="C11" s="136" t="n">
        <x:v>41</x:v>
      </x:c>
      <x:c r="D11" s="136" t="n">
        <x:v>41</x:v>
      </x:c>
      <x:c r="E11" s="136" t="str">
        <x:v>GRID-RESOLUTION-NOT-ANALYTIC-THRESHOLD</x:v>
      </x:c>
      <x:c r="G11" s="159" t="n">
        <x:f>'Grid Boundary'!A25</x:f>
        <x:v>9.769230769230768e-7</x:v>
      </x:c>
      <x:c r="H11" s="146" t="n">
        <x:f>'Grid Boundary'!B25</x:f>
        <x:v>0.003307692307692308</x:v>
      </x:c>
    </x:row>
    <x:row r="12" ht="26" customHeight="1">
      <x:c r="A12" s="142" t="n">
        <x:v>3.923076923076923e-7</x:v>
      </x:c>
      <x:c r="B12" s="144" t="n">
        <x:v>0.015</x:v>
      </x:c>
      <x:c r="C12" s="137" t="n">
        <x:v>41</x:v>
      </x:c>
      <x:c r="D12" s="137" t="n">
        <x:v>41</x:v>
      </x:c>
      <x:c r="E12" s="137" t="str">
        <x:v>GRID-RESOLUTION-NOT-ANALYTIC-THRESHOLD</x:v>
      </x:c>
    </x:row>
    <x:row r="13" ht="26" customHeight="1">
      <x:c r="A13" s="143" t="n">
        <x:v>4.41025641025641e-7</x:v>
      </x:c>
      <x:c r="B13" s="145" t="n">
        <x:v>0.014384615384615385</x:v>
      </x:c>
      <x:c r="C13" s="136" t="n">
        <x:v>39</x:v>
      </x:c>
      <x:c r="D13" s="136" t="n">
        <x:v>41</x:v>
      </x:c>
      <x:c r="E13" s="136" t="str">
        <x:v>GRID-RESOLUTION-NOT-ANALYTIC-THRESHOLD</x:v>
      </x:c>
    </x:row>
    <x:row r="14" ht="26" customHeight="1">
      <x:c r="A14" s="142" t="n">
        <x:v>4.897435897435897e-7</x:v>
      </x:c>
      <x:c r="B14" s="144" t="n">
        <x:v>0.013461538461538462</x:v>
      </x:c>
      <x:c r="C14" s="137" t="n">
        <x:v>36</x:v>
      </x:c>
      <x:c r="D14" s="137" t="n">
        <x:v>41</x:v>
      </x:c>
      <x:c r="E14" s="137" t="str">
        <x:v>GRID-RESOLUTION-NOT-ANALYTIC-THRESHOLD</x:v>
      </x:c>
    </x:row>
    <x:row r="15" ht="26" customHeight="1">
      <x:c r="A15" s="143" t="n">
        <x:v>5e-7</x:v>
      </x:c>
      <x:c r="B15" s="145" t="n">
        <x:v>0.013153846153846155</x:v>
      </x:c>
      <x:c r="C15" s="136" t="n">
        <x:v>35</x:v>
      </x:c>
      <x:c r="D15" s="136" t="n">
        <x:v>41</x:v>
      </x:c>
      <x:c r="E15" s="136" t="str">
        <x:v>GRID-RESOLUTION-NOT-ANALYTIC-THRESHOLD</x:v>
      </x:c>
    </x:row>
    <x:row r="16" ht="26" customHeight="1">
      <x:c r="A16" s="142" t="n">
        <x:v>5.384615384615384e-7</x:v>
      </x:c>
      <x:c r="B16" s="144" t="n">
        <x:v>0.012230769230769233</x:v>
      </x:c>
      <x:c r="C16" s="137" t="n">
        <x:v>32</x:v>
      </x:c>
      <x:c r="D16" s="137" t="n">
        <x:v>41</x:v>
      </x:c>
      <x:c r="E16" s="137" t="str">
        <x:v>GRID-RESOLUTION-NOT-ANALYTIC-THRESHOLD</x:v>
      </x:c>
    </x:row>
    <x:row r="17" ht="26" customHeight="1">
      <x:c r="A17" s="143" t="n">
        <x:v>5.871794871794871e-7</x:v>
      </x:c>
      <x:c r="B17" s="145" t="n">
        <x:v>0.011307692307692307</x:v>
      </x:c>
      <x:c r="C17" s="136" t="n">
        <x:v>29</x:v>
      </x:c>
      <x:c r="D17" s="136" t="n">
        <x:v>41</x:v>
      </x:c>
      <x:c r="E17" s="136" t="str">
        <x:v>GRID-RESOLUTION-NOT-ANALYTIC-THRESHOLD</x:v>
      </x:c>
    </x:row>
    <x:row r="18" ht="26" customHeight="1">
      <x:c r="A18" s="142" t="n">
        <x:v>6.358974358974359e-7</x:v>
      </x:c>
      <x:c r="B18" s="144" t="n">
        <x:v>0.010076923076923077</x:v>
      </x:c>
      <x:c r="C18" s="137" t="n">
        <x:v>25</x:v>
      </x:c>
      <x:c r="D18" s="137" t="n">
        <x:v>41</x:v>
      </x:c>
      <x:c r="E18" s="137" t="str">
        <x:v>GRID-RESOLUTION-NOT-ANALYTIC-THRESHOLD</x:v>
      </x:c>
    </x:row>
    <x:row r="19" ht="26" customHeight="1">
      <x:c r="A19" s="143" t="n">
        <x:v>6.846153846153846e-7</x:v>
      </x:c>
      <x:c r="B19" s="145" t="n">
        <x:v>0.009153846153846155</x:v>
      </x:c>
      <x:c r="C19" s="136" t="n">
        <x:v>22</x:v>
      </x:c>
      <x:c r="D19" s="136" t="n">
        <x:v>41</x:v>
      </x:c>
      <x:c r="E19" s="136" t="str">
        <x:v>GRID-RESOLUTION-NOT-ANALYTIC-THRESHOLD</x:v>
      </x:c>
    </x:row>
    <x:row r="20" ht="26" customHeight="1">
      <x:c r="A20" s="142" t="n">
        <x:v>7.333333333333333e-7</x:v>
      </x:c>
      <x:c r="B20" s="144" t="n">
        <x:v>0.00823076923076923</x:v>
      </x:c>
      <x:c r="C20" s="137" t="n">
        <x:v>19</x:v>
      </x:c>
      <x:c r="D20" s="137" t="n">
        <x:v>41</x:v>
      </x:c>
      <x:c r="E20" s="137" t="str">
        <x:v>GRID-RESOLUTION-NOT-ANALYTIC-THRESHOLD</x:v>
      </x:c>
    </x:row>
    <x:row r="21" ht="26" customHeight="1">
      <x:c r="A21" s="143" t="n">
        <x:v>7.82051282051282e-7</x:v>
      </x:c>
      <x:c r="B21" s="145" t="n">
        <x:v>0.007307692307692308</x:v>
      </x:c>
      <x:c r="C21" s="136" t="n">
        <x:v>16</x:v>
      </x:c>
      <x:c r="D21" s="136" t="n">
        <x:v>41</x:v>
      </x:c>
      <x:c r="E21" s="136" t="str">
        <x:v>GRID-RESOLUTION-NOT-ANALYTIC-THRESHOLD</x:v>
      </x:c>
    </x:row>
    <x:row r="22" ht="26" customHeight="1">
      <x:c r="A22" s="142" t="n">
        <x:v>8.307692307692308e-7</x:v>
      </x:c>
      <x:c r="B22" s="144" t="n">
        <x:v>0.006076923076923077</x:v>
      </x:c>
      <x:c r="C22" s="137" t="n">
        <x:v>12</x:v>
      </x:c>
      <x:c r="D22" s="137" t="n">
        <x:v>41</x:v>
      </x:c>
      <x:c r="E22" s="137" t="str">
        <x:v>GRID-RESOLUTION-NOT-ANALYTIC-THRESHOLD</x:v>
      </x:c>
    </x:row>
    <x:row r="23" ht="26" customHeight="1">
      <x:c r="A23" s="143" t="n">
        <x:v>8.794871794871795e-7</x:v>
      </x:c>
      <x:c r="B23" s="145" t="n">
        <x:v>0.005153846153846154</x:v>
      </x:c>
      <x:c r="C23" s="136" t="n">
        <x:v>9</x:v>
      </x:c>
      <x:c r="D23" s="136" t="n">
        <x:v>41</x:v>
      </x:c>
      <x:c r="E23" s="136" t="str">
        <x:v>GRID-RESOLUTION-NOT-ANALYTIC-THRESHOLD</x:v>
      </x:c>
    </x:row>
    <x:row r="24" ht="26" customHeight="1">
      <x:c r="A24" s="142" t="n">
        <x:v>9.282051282051281e-7</x:v>
      </x:c>
      <x:c r="B24" s="144" t="n">
        <x:v>0.004230769230769231</x:v>
      </x:c>
      <x:c r="C24" s="137" t="n">
        <x:v>5</x:v>
      </x:c>
      <x:c r="D24" s="137" t="n">
        <x:v>41</x:v>
      </x:c>
      <x:c r="E24" s="137" t="str">
        <x:v>GRID-RESOLUTION-NOT-ANALYTIC-THRESHOLD</x:v>
      </x:c>
    </x:row>
    <x:row r="25" ht="26" customHeight="1">
      <x:c r="A25" s="143" t="n">
        <x:v>9.769230769230768e-7</x:v>
      </x:c>
      <x:c r="B25" s="145" t="n">
        <x:v>0.003307692307692308</x:v>
      </x:c>
      <x:c r="C25" s="136" t="n">
        <x:v>2</x:v>
      </x:c>
      <x:c r="D25" s="136" t="n">
        <x:v>41</x:v>
      </x:c>
      <x:c r="E25" s="136" t="str">
        <x:v>GRID-RESOLUTION-NOT-ANALYTIC-THRESHOLD</x:v>
      </x:c>
    </x:row>
    <x:row r="26" ht="26" customHeight="1">
      <x:c r="A26" s="142" t="n">
        <x:v>0.0000010256410256410257</x:v>
      </x:c>
      <x:c r="B26" s="144"/>
      <x:c r="C26" s="137" t="n">
        <x:v>0</x:v>
      </x:c>
      <x:c r="D26" s="137" t="n">
        <x:v>41</x:v>
      </x:c>
      <x:c r="E26" s="137" t="str">
        <x:v>GRID-RESOLUTION-NOT-ANALYTIC-THRESHOLD</x:v>
      </x:c>
    </x:row>
    <x:row r="27" ht="26" customHeight="1">
      <x:c r="A27" s="143" t="n">
        <x:v>0.0000010743589743589741</x:v>
      </x:c>
      <x:c r="B27" s="145"/>
      <x:c r="C27" s="136" t="n">
        <x:v>0</x:v>
      </x:c>
      <x:c r="D27" s="136" t="n">
        <x:v>41</x:v>
      </x:c>
      <x:c r="E27" s="136" t="str">
        <x:v>GRID-RESOLUTION-NOT-ANALYTIC-THRESHOLD</x:v>
      </x:c>
    </x:row>
    <x:row r="28" ht="26" customHeight="1">
      <x:c r="A28" s="142" t="n">
        <x:v>0.000001123076923076923</x:v>
      </x:c>
      <x:c r="B28" s="144"/>
      <x:c r="C28" s="137" t="n">
        <x:v>0</x:v>
      </x:c>
      <x:c r="D28" s="137" t="n">
        <x:v>41</x:v>
      </x:c>
      <x:c r="E28" s="137" t="str">
        <x:v>GRID-RESOLUTION-NOT-ANALYTIC-THRESHOLD</x:v>
      </x:c>
    </x:row>
    <x:row r="29" ht="26" customHeight="1">
      <x:c r="A29" s="143" t="n">
        <x:v>0.0000011717948717948719</x:v>
      </x:c>
      <x:c r="B29" s="145"/>
      <x:c r="C29" s="136" t="n">
        <x:v>0</x:v>
      </x:c>
      <x:c r="D29" s="136" t="n">
        <x:v>41</x:v>
      </x:c>
      <x:c r="E29" s="136" t="str">
        <x:v>GRID-RESOLUTION-NOT-ANALYTIC-THRESHOLD</x:v>
      </x:c>
    </x:row>
    <x:row r="30" ht="26" customHeight="1">
      <x:c r="A30" s="142" t="n">
        <x:v>0.0000012205128205128203</x:v>
      </x:c>
      <x:c r="B30" s="144"/>
      <x:c r="C30" s="137" t="n">
        <x:v>0</x:v>
      </x:c>
      <x:c r="D30" s="137" t="n">
        <x:v>41</x:v>
      </x:c>
      <x:c r="E30" s="137" t="str">
        <x:v>GRID-RESOLUTION-NOT-ANALYTIC-THRESHOLD</x:v>
      </x:c>
    </x:row>
    <x:row r="31" ht="26" customHeight="1">
      <x:c r="A31" s="143" t="n">
        <x:v>0.0000012692307692307692</x:v>
      </x:c>
      <x:c r="B31" s="145"/>
      <x:c r="C31" s="136" t="n">
        <x:v>0</x:v>
      </x:c>
      <x:c r="D31" s="136" t="n">
        <x:v>41</x:v>
      </x:c>
      <x:c r="E31" s="136" t="str">
        <x:v>GRID-RESOLUTION-NOT-ANALYTIC-THRESHOLD</x:v>
      </x:c>
    </x:row>
    <x:row r="32" ht="26" customHeight="1">
      <x:c r="A32" s="142" t="n">
        <x:v>0.0000013179487179487177</x:v>
      </x:c>
      <x:c r="B32" s="144"/>
      <x:c r="C32" s="137" t="n">
        <x:v>0</x:v>
      </x:c>
      <x:c r="D32" s="137" t="n">
        <x:v>41</x:v>
      </x:c>
      <x:c r="E32" s="137" t="str">
        <x:v>GRID-RESOLUTION-NOT-ANALYTIC-THRESHOLD</x:v>
      </x:c>
    </x:row>
    <x:row r="33" ht="26" customHeight="1">
      <x:c r="A33" s="143" t="n">
        <x:v>0.0000013666666666666666</x:v>
      </x:c>
      <x:c r="B33" s="145"/>
      <x:c r="C33" s="136" t="n">
        <x:v>0</x:v>
      </x:c>
      <x:c r="D33" s="136" t="n">
        <x:v>41</x:v>
      </x:c>
      <x:c r="E33" s="136" t="str">
        <x:v>GRID-RESOLUTION-NOT-ANALYTIC-THRESHOLD</x:v>
      </x:c>
    </x:row>
    <x:row r="34" ht="26" customHeight="1">
      <x:c r="A34" s="142" t="n">
        <x:v>0.0000014153846153846155</x:v>
      </x:c>
      <x:c r="B34" s="144"/>
      <x:c r="C34" s="137" t="n">
        <x:v>0</x:v>
      </x:c>
      <x:c r="D34" s="137" t="n">
        <x:v>41</x:v>
      </x:c>
      <x:c r="E34" s="137" t="str">
        <x:v>GRID-RESOLUTION-NOT-ANALYTIC-THRESHOLD</x:v>
      </x:c>
    </x:row>
    <x:row r="35" ht="26" customHeight="1">
      <x:c r="A35" s="143" t="n">
        <x:v>0.000001464102564102564</x:v>
      </x:c>
      <x:c r="B35" s="145"/>
      <x:c r="C35" s="136" t="n">
        <x:v>0</x:v>
      </x:c>
      <x:c r="D35" s="136" t="n">
        <x:v>41</x:v>
      </x:c>
      <x:c r="E35" s="136" t="str">
        <x:v>GRID-RESOLUTION-NOT-ANALYTIC-THRESHOLD</x:v>
      </x:c>
    </x:row>
    <x:row r="36" ht="26" customHeight="1">
      <x:c r="A36" s="142" t="n">
        <x:v>0.0000015128205128205128</x:v>
      </x:c>
      <x:c r="B36" s="144"/>
      <x:c r="C36" s="137" t="n">
        <x:v>0</x:v>
      </x:c>
      <x:c r="D36" s="137" t="n">
        <x:v>41</x:v>
      </x:c>
      <x:c r="E36" s="137" t="str">
        <x:v>GRID-RESOLUTION-NOT-ANALYTIC-THRESHOLD</x:v>
      </x:c>
    </x:row>
    <x:row r="37" ht="26" customHeight="1">
      <x:c r="A37" s="143" t="n">
        <x:v>0.0000015615384615384617</x:v>
      </x:c>
      <x:c r="B37" s="145"/>
      <x:c r="C37" s="136" t="n">
        <x:v>0</x:v>
      </x:c>
      <x:c r="D37" s="136" t="n">
        <x:v>41</x:v>
      </x:c>
      <x:c r="E37" s="136" t="str">
        <x:v>GRID-RESOLUTION-NOT-ANALYTIC-THRESHOLD</x:v>
      </x:c>
    </x:row>
    <x:row r="38" ht="26" customHeight="1">
      <x:c r="A38" s="142" t="n">
        <x:v>0.0000016102564102564101</x:v>
      </x:c>
      <x:c r="B38" s="144"/>
      <x:c r="C38" s="137" t="n">
        <x:v>0</x:v>
      </x:c>
      <x:c r="D38" s="137" t="n">
        <x:v>41</x:v>
      </x:c>
      <x:c r="E38" s="137" t="str">
        <x:v>GRID-RESOLUTION-NOT-ANALYTIC-THRESHOLD</x:v>
      </x:c>
    </x:row>
    <x:row r="39" ht="26" customHeight="1">
      <x:c r="A39" s="143" t="n">
        <x:v>0.000001658974358974359</x:v>
      </x:c>
      <x:c r="B39" s="145"/>
      <x:c r="C39" s="136" t="n">
        <x:v>0</x:v>
      </x:c>
      <x:c r="D39" s="136" t="n">
        <x:v>41</x:v>
      </x:c>
      <x:c r="E39" s="136" t="str">
        <x:v>GRID-RESOLUTION-NOT-ANALYTIC-THRESHOLD</x:v>
      </x:c>
    </x:row>
    <x:row r="40" ht="26" customHeight="1">
      <x:c r="A40" s="142" t="n">
        <x:v>0.0000017076923076923075</x:v>
      </x:c>
      <x:c r="B40" s="144"/>
      <x:c r="C40" s="137" t="n">
        <x:v>0</x:v>
      </x:c>
      <x:c r="D40" s="137" t="n">
        <x:v>41</x:v>
      </x:c>
      <x:c r="E40" s="137" t="str">
        <x:v>GRID-RESOLUTION-NOT-ANALYTIC-THRESHOLD</x:v>
      </x:c>
    </x:row>
    <x:row r="41" ht="26" customHeight="1">
      <x:c r="A41" s="143" t="n">
        <x:v>0.0000017564102564102563</x:v>
      </x:c>
      <x:c r="B41" s="145"/>
      <x:c r="C41" s="136" t="n">
        <x:v>0</x:v>
      </x:c>
      <x:c r="D41" s="136" t="n">
        <x:v>41</x:v>
      </x:c>
      <x:c r="E41" s="136" t="str">
        <x:v>GRID-RESOLUTION-NOT-ANALYTIC-THRESHOLD</x:v>
      </x:c>
    </x:row>
    <x:row r="42" ht="26" customHeight="1">
      <x:c r="A42" s="142" t="n">
        <x:v>0.0000018051282051282052</x:v>
      </x:c>
      <x:c r="B42" s="144"/>
      <x:c r="C42" s="137" t="n">
        <x:v>0</x:v>
      </x:c>
      <x:c r="D42" s="137" t="n">
        <x:v>41</x:v>
      </x:c>
      <x:c r="E42" s="137" t="str">
        <x:v>GRID-RESOLUTION-NOT-ANALYTIC-THRESHOLD</x:v>
      </x:c>
    </x:row>
    <x:row r="43" ht="26" customHeight="1">
      <x:c r="A43" s="143" t="n">
        <x:v>0.0000018538461538461537</x:v>
      </x:c>
      <x:c r="B43" s="145"/>
      <x:c r="C43" s="136" t="n">
        <x:v>0</x:v>
      </x:c>
      <x:c r="D43" s="136" t="n">
        <x:v>41</x:v>
      </x:c>
      <x:c r="E43" s="136" t="str">
        <x:v>GRID-RESOLUTION-NOT-ANALYTIC-THRESHOLD</x:v>
      </x:c>
    </x:row>
    <x:row r="44" ht="26" customHeight="1">
      <x:c r="A44" s="142" t="n">
        <x:v>0.0000019025641025641026</x:v>
      </x:c>
      <x:c r="B44" s="144"/>
      <x:c r="C44" s="137" t="n">
        <x:v>0</x:v>
      </x:c>
      <x:c r="D44" s="137" t="n">
        <x:v>41</x:v>
      </x:c>
      <x:c r="E44" s="137" t="str">
        <x:v>GRID-RESOLUTION-NOT-ANALYTIC-THRESHOLD</x:v>
      </x:c>
    </x:row>
    <x:row r="45" ht="26" customHeight="1">
      <x:c r="A45" s="143" t="n">
        <x:v>0.000001951282051282051</x:v>
      </x:c>
      <x:c r="B45" s="145"/>
      <x:c r="C45" s="136" t="n">
        <x:v>0</x:v>
      </x:c>
      <x:c r="D45" s="136" t="n">
        <x:v>41</x:v>
      </x:c>
      <x:c r="E45" s="136" t="str">
        <x:v>GRID-RESOLUTION-NOT-ANALYTIC-THRESHOLD</x:v>
      </x:c>
    </x:row>
    <x:row r="46" ht="26" customHeight="1">
      <x:c r="A46" s="142" t="n">
        <x:v>0.000002</x:v>
      </x:c>
      <x:c r="B46" s="144"/>
      <x:c r="C46" s="137" t="n">
        <x:v>0</x:v>
      </x:c>
      <x:c r="D46" s="137" t="n">
        <x:v>41</x:v>
      </x:c>
      <x:c r="E46" s="137" t="str">
        <x:v>GRID-RESOLUTION-NOT-ANALYTIC-THRESHOLD</x:v>
      </x:c>
    </x:row>
  </x:sheetData>
  <x:mergeCells>
    <x:mergeCell ref="A1:E2"/>
    <x:mergeCell ref="A3:E3"/>
  </x:mergeCells>
  <x:conditionalFormatting sqref="E6:E46">
    <x:cfRule type="containsText" dxfId="24" priority="1" operator="containsText" text="PASS"/>
    <x:cfRule type="containsText" dxfId="25" priority="2" operator="containsText" text="POSITIVE"/>
    <x:cfRule type="containsText" dxfId="26" priority="3" operator="containsText" text="BLOCKED"/>
    <x:cfRule type="containsText" dxfId="27" priority="4" operator="containsText" text="PROHIBITED"/>
    <x:cfRule type="containsText" dxfId="28" priority="5" operator="containsText" text="NONPOSITIVE"/>
    <x:cfRule type="containsText" dxfId="29" priority="6" operator="containsText" text="NOT-"/>
    <x:cfRule type="containsText" dxfId="30" priority="7" operator="containsText" text="UNMAPPED"/>
    <x:cfRule type="containsText" dxfId="31" priority="8" operator="containsText" text="QUARANTIN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8" hidden="0" customWidth="1"/>
    <x:col min="10" max="10" width="28" hidden="0" customWidth="1"/>
  </x:cols>
  <x:sheetData>
    <x:row r="1" ht="27" customHeight="1">
      <x:c r="A1" s="3" t="str">
        <x:v>Full deterministic 41 × 41 coupled screen</x:v>
      </x:c>
      <x:c r="B1" s="3" t="str">
        <x:v>Full deterministic 41 × 41 coupled screen</x:v>
      </x:c>
      <x:c r="C1" s="3" t="str">
        <x:v>Full deterministic 41 × 41 coupled screen</x:v>
      </x:c>
      <x:c r="D1" s="3" t="str">
        <x:v>Full deterministic 41 × 41 coupled screen</x:v>
      </x:c>
      <x:c r="E1" s="3" t="str">
        <x:v>Full deterministic 41 × 41 coupled screen</x:v>
      </x:c>
      <x:c r="F1" s="3" t="str">
        <x:v>Full deterministic 41 × 41 coupled screen</x:v>
      </x:c>
      <x:c r="G1" s="3" t="str">
        <x:v>Full deterministic 41 × 41 coupled screen</x:v>
      </x:c>
      <x:c r="H1" s="3" t="str">
        <x:v>Full deterministic 41 × 41 coupled screen</x:v>
      </x:c>
      <x:c r="I1" s="3" t="str">
        <x:v>Full deterministic 41 × 41 coupled screen</x:v>
      </x:c>
      <x:c r="J1" s="3" t="str">
        <x:v>Full deterministic 41 × 41 coupled screen</x:v>
      </x:c>
    </x:row>
    <x:row r="2" ht="27" customHeight="1">
      <x:c r="A2" s="3" t="str">
        <x:v>Full deterministic 41 × 41 coupled screen</x:v>
      </x:c>
      <x:c r="B2" s="3" t="str">
        <x:v>Full deterministic 41 × 41 coupled screen</x:v>
      </x:c>
      <x:c r="C2" s="3" t="str">
        <x:v>Full deterministic 41 × 41 coupled screen</x:v>
      </x:c>
      <x:c r="D2" s="3" t="str">
        <x:v>Full deterministic 41 × 41 coupled screen</x:v>
      </x:c>
      <x:c r="E2" s="3" t="str">
        <x:v>Full deterministic 41 × 41 coupled screen</x:v>
      </x:c>
      <x:c r="F2" s="3" t="str">
        <x:v>Full deterministic 41 × 41 coupled screen</x:v>
      </x:c>
      <x:c r="G2" s="3" t="str">
        <x:v>Full deterministic 41 × 41 coupled screen</x:v>
      </x:c>
      <x:c r="H2" s="3" t="str">
        <x:v>Full deterministic 41 × 41 coupled screen</x:v>
      </x:c>
      <x:c r="I2" s="3" t="str">
        <x:v>Full deterministic 41 × 41 coupled screen</x:v>
      </x:c>
      <x:c r="J2" s="3" t="str">
        <x:v>Full deterministic 41 × 41 coupled screen</x:v>
      </x:c>
    </x:row>
    <x:row r="3" ht="32" customHeight="1">
      <x:c r="A3" s="7" t="str">
        <x:v>1,681 rows; range source is V0.7 controlled engineering screening, not a probability distribution.</x:v>
      </x:c>
      <x:c r="B3" s="7" t="str">
        <x:v>1,681 rows; range source is V0.7 controlled engineering screening, not a probability distribution.</x:v>
      </x:c>
      <x:c r="C3" s="7" t="str">
        <x:v>1,681 rows; range source is V0.7 controlled engineering screening, not a probability distribution.</x:v>
      </x:c>
      <x:c r="D3" s="7" t="str">
        <x:v>1,681 rows; range source is V0.7 controlled engineering screening, not a probability distribution.</x:v>
      </x:c>
      <x:c r="E3" s="7" t="str">
        <x:v>1,681 rows; range source is V0.7 controlled engineering screening, not a probability distribution.</x:v>
      </x:c>
      <x:c r="F3" s="7" t="str">
        <x:v>1,681 rows; range source is V0.7 controlled engineering screening, not a probability distribution.</x:v>
      </x:c>
      <x:c r="G3" s="7" t="str">
        <x:v>1,681 rows; range source is V0.7 controlled engineering screening, not a probability distribution.</x:v>
      </x:c>
      <x:c r="H3" s="7" t="str">
        <x:v>1,681 rows; range source is V0.7 controlled engineering screening, not a probability distribution.</x:v>
      </x:c>
      <x:c r="I3" s="7" t="str">
        <x:v>1,681 rows; range source is V0.7 controlled engineering screening, not a probability distribution.</x:v>
      </x:c>
      <x:c r="J3" s="7" t="str">
        <x:v>1,681 rows; range source is V0.7 controlled engineering screening, not a probability distribution.</x:v>
      </x:c>
    </x:row>
    <x:row r="5" ht="38" customHeight="1">
      <x:c r="A5" s="13" t="str">
        <x:v>screen_id</x:v>
      </x:c>
      <x:c r="B5" s="13" t="str">
        <x:v>extraneous_count_probability_per_pulse</x:v>
      </x:c>
      <x:c r="C5" s="13" t="str">
        <x:v>intrinsic_qber_fraction</x:v>
      </x:c>
      <x:c r="D5" s="13" t="str">
        <x:v>optimized_half_window_s</x:v>
      </x:c>
      <x:c r="E5" s="13" t="str">
        <x:v>signed_key_margin_bits</x:v>
      </x:c>
      <x:c r="F5" s="13" t="str">
        <x:v>secret_key_bits</x:v>
      </x:c>
      <x:c r="G5" s="13" t="str">
        <x:v>qber_x</x:v>
      </x:c>
      <x:c r="H5" s="13" t="str">
        <x:v>phase_error_x</x:v>
      </x:c>
      <x:c r="I5" s="13" t="str">
        <x:v>positive_state</x:v>
      </x:c>
      <x:c r="J5" s="13" t="str">
        <x:v>range_class</x:v>
      </x:c>
    </x:row>
    <x:row r="6" ht="22" customHeight="1">
      <x:c r="A6" s="137" t="str">
        <x:v>SCR-0001</x:v>
      </x:c>
      <x:c r="B6" s="142" t="n">
        <x:v>1e-7</x:v>
      </x:c>
      <x:c r="C6" s="142" t="n">
        <x:v>0.003</x:v>
      </x:c>
      <x:c r="D6" s="160" t="n">
        <x:v>221</x:v>
      </x:c>
      <x:c r="E6" s="162" t="n">
        <x:v>142540.7481180454</x:v>
      </x:c>
      <x:c r="F6" s="162" t="n">
        <x:v>142540</x:v>
      </x:c>
      <x:c r="G6" s="144" t="n">
        <x:v>0.007606124943751957</x:v>
      </x:c>
      <x:c r="H6" s="144" t="n">
        <x:v>0.03815209959774776</x:v>
      </x:c>
      <x:c r="I6" s="137" t="str">
        <x:v>POSITIVE-MODEL-MARGIN</x:v>
      </x:c>
      <x:c r="J6" s="137" t="str">
        <x:v>V0.7-CONTROLLED-RESEARCH-SCREEN-NOT-DISTRIBUTION</x:v>
      </x:c>
    </x:row>
    <x:row r="7" ht="22" customHeight="1">
      <x:c r="A7" s="136" t="str">
        <x:v>SCR-0002</x:v>
      </x:c>
      <x:c r="B7" s="143" t="n">
        <x:v>1e-7</x:v>
      </x:c>
      <x:c r="C7" s="143" t="n">
        <x:v>0.003307692307692308</x:v>
      </x:c>
      <x:c r="D7" s="161" t="n">
        <x:v>221</x:v>
      </x:c>
      <x:c r="E7" s="163" t="n">
        <x:v>139764.00739038008</x:v>
      </x:c>
      <x:c r="F7" s="163" t="n">
        <x:v>139764</x:v>
      </x:c>
      <x:c r="G7" s="145" t="n">
        <x:v>0.007910965973703972</x:v>
      </x:c>
      <x:c r="H7" s="145" t="n">
        <x:v>0.03943315437137525</x:v>
      </x:c>
      <x:c r="I7" s="136" t="str">
        <x:v>POSITIVE-MODEL-MARGIN</x:v>
      </x:c>
      <x:c r="J7" s="136" t="str">
        <x:v>V0.7-CONTROLLED-RESEARCH-SCREEN-NOT-DISTRIBUTION</x:v>
      </x:c>
    </x:row>
    <x:row r="8" ht="22" customHeight="1">
      <x:c r="A8" s="137" t="str">
        <x:v>SCR-0003</x:v>
      </x:c>
      <x:c r="B8" s="142" t="n">
        <x:v>1e-7</x:v>
      </x:c>
      <x:c r="C8" s="142" t="n">
        <x:v>0.0036153846153846154</x:v>
      </x:c>
      <x:c r="D8" s="160" t="n">
        <x:v>221</x:v>
      </x:c>
      <x:c r="E8" s="162" t="n">
        <x:v>137017.94924578795</x:v>
      </x:c>
      <x:c r="F8" s="162" t="n">
        <x:v>137017</x:v>
      </x:c>
      <x:c r="G8" s="144" t="n">
        <x:v>0.008215807003655987</x:v>
      </x:c>
      <x:c r="H8" s="144" t="n">
        <x:v>0.04070955139375431</x:v>
      </x:c>
      <x:c r="I8" s="137" t="str">
        <x:v>POSITIVE-MODEL-MARGIN</x:v>
      </x:c>
      <x:c r="J8" s="137" t="str">
        <x:v>V0.7-CONTROLLED-RESEARCH-SCREEN-NOT-DISTRIBUTION</x:v>
      </x:c>
    </x:row>
    <x:row r="9" ht="22" customHeight="1">
      <x:c r="A9" s="136" t="str">
        <x:v>SCR-0004</x:v>
      </x:c>
      <x:c r="B9" s="143" t="n">
        <x:v>1e-7</x:v>
      </x:c>
      <x:c r="C9" s="143" t="n">
        <x:v>0.003923076923076923</x:v>
      </x:c>
      <x:c r="D9" s="161" t="n">
        <x:v>221</x:v>
      </x:c>
      <x:c r="E9" s="163" t="n">
        <x:v>134306.0744784203</x:v>
      </x:c>
      <x:c r="F9" s="163" t="n">
        <x:v>134306</x:v>
      </x:c>
      <x:c r="G9" s="145" t="n">
        <x:v>0.008520648033608004</x:v>
      </x:c>
      <x:c r="H9" s="145" t="n">
        <x:v>0.041981542807232826</x:v>
      </x:c>
      <x:c r="I9" s="136" t="str">
        <x:v>POSITIVE-MODEL-MARGIN</x:v>
      </x:c>
      <x:c r="J9" s="136" t="str">
        <x:v>V0.7-CONTROLLED-RESEARCH-SCREEN-NOT-DISTRIBUTION</x:v>
      </x:c>
    </x:row>
    <x:row r="10" ht="22" customHeight="1">
      <x:c r="A10" s="137" t="str">
        <x:v>SCR-0005</x:v>
      </x:c>
      <x:c r="B10" s="142" t="n">
        <x:v>1e-7</x:v>
      </x:c>
      <x:c r="C10" s="142" t="n">
        <x:v>0.004230769230769231</x:v>
      </x:c>
      <x:c r="D10" s="160" t="n">
        <x:v>221</x:v>
      </x:c>
      <x:c r="E10" s="162" t="n">
        <x:v>131617.67603823048</x:v>
      </x:c>
      <x:c r="F10" s="162" t="n">
        <x:v>131617</x:v>
      </x:c>
      <x:c r="G10" s="144" t="n">
        <x:v>0.008825489063560017</x:v>
      </x:c>
      <x:c r="H10" s="144" t="n">
        <x:v>0.043249358393715756</x:v>
      </x:c>
      <x:c r="I10" s="137" t="str">
        <x:v>POSITIVE-MODEL-MARGIN</x:v>
      </x:c>
      <x:c r="J10" s="137" t="str">
        <x:v>V0.7-CONTROLLED-RESEARCH-SCREEN-NOT-DISTRIBUTION</x:v>
      </x:c>
    </x:row>
    <x:row r="11" ht="22" customHeight="1">
      <x:c r="A11" s="136" t="str">
        <x:v>SCR-0006</x:v>
      </x:c>
      <x:c r="B11" s="143" t="n">
        <x:v>1e-7</x:v>
      </x:c>
      <x:c r="C11" s="143" t="n">
        <x:v>0.004538461538461538</x:v>
      </x:c>
      <x:c r="D11" s="161" t="n">
        <x:v>221</x:v>
      </x:c>
      <x:c r="E11" s="163" t="n">
        <x:v>128961.16299810959</x:v>
      </x:c>
      <x:c r="F11" s="163" t="n">
        <x:v>128961</x:v>
      </x:c>
      <x:c r="G11" s="145" t="n">
        <x:v>0.009130330093512034</x:v>
      </x:c>
      <x:c r="H11" s="145" t="n">
        <x:v>0.044513208259222156</x:v>
      </x:c>
      <x:c r="I11" s="136" t="str">
        <x:v>POSITIVE-MODEL-MARGIN</x:v>
      </x:c>
      <x:c r="J11" s="136" t="str">
        <x:v>V0.7-CONTROLLED-RESEARCH-SCREEN-NOT-DISTRIBUTION</x:v>
      </x:c>
    </x:row>
    <x:row r="12" ht="22" customHeight="1">
      <x:c r="A12" s="137" t="str">
        <x:v>SCR-0007</x:v>
      </x:c>
      <x:c r="B12" s="142" t="n">
        <x:v>1e-7</x:v>
      </x:c>
      <x:c r="C12" s="142" t="n">
        <x:v>0.004846153846153846</x:v>
      </x:c>
      <x:c r="D12" s="160" t="n">
        <x:v>221</x:v>
      </x:c>
      <x:c r="E12" s="162" t="n">
        <x:v>126330.78835085906</x:v>
      </x:c>
      <x:c r="F12" s="162" t="n">
        <x:v>126330</x:v>
      </x:c>
      <x:c r="G12" s="144" t="n">
        <x:v>0.00943517112346405</x:v>
      </x:c>
      <x:c r="H12" s="144" t="n">
        <x:v>0.04577328511764535</x:v>
      </x:c>
      <x:c r="I12" s="137" t="str">
        <x:v>POSITIVE-MODEL-MARGIN</x:v>
      </x:c>
      <x:c r="J12" s="137" t="str">
        <x:v>V0.7-CONTROLLED-RESEARCH-SCREEN-NOT-DISTRIBUTION</x:v>
      </x:c>
    </x:row>
    <x:row r="13" ht="22" customHeight="1">
      <x:c r="A13" s="136" t="str">
        <x:v>SCR-0008</x:v>
      </x:c>
      <x:c r="B13" s="143" t="n">
        <x:v>1e-7</x:v>
      </x:c>
      <x:c r="C13" s="143" t="n">
        <x:v>0.005</x:v>
      </x:c>
      <x:c r="D13" s="161" t="n">
        <x:v>221</x:v>
      </x:c>
      <x:c r="E13" s="163" t="n">
        <x:v>125027.43142930474</x:v>
      </x:c>
      <x:c r="F13" s="163" t="n">
        <x:v>125027</x:v>
      </x:c>
      <x:c r="G13" s="145" t="n">
        <x:v>0.009587591638440057</x:v>
      </x:c>
      <x:c r="H13" s="145" t="n">
        <x:v>0.04640196462326292</x:v>
      </x:c>
      <x:c r="I13" s="136" t="str">
        <x:v>POSITIVE-MODEL-MARGIN</x:v>
      </x:c>
      <x:c r="J13" s="136" t="str">
        <x:v>V0.7-CONTROLLED-RESEARCH-SCREEN-NOT-DISTRIBUTION</x:v>
      </x:c>
    </x:row>
    <x:row r="14" ht="22" customHeight="1">
      <x:c r="A14" s="137" t="str">
        <x:v>SCR-0009</x:v>
      </x:c>
      <x:c r="B14" s="142" t="n">
        <x:v>1e-7</x:v>
      </x:c>
      <x:c r="C14" s="142" t="n">
        <x:v>0.005153846153846154</x:v>
      </x:c>
      <x:c r="D14" s="160" t="n">
        <x:v>221</x:v>
      </x:c>
      <x:c r="E14" s="162" t="n">
        <x:v>123725.63110562578</x:v>
      </x:c>
      <x:c r="F14" s="162" t="n">
        <x:v>123725</x:v>
      </x:c>
      <x:c r="G14" s="144" t="n">
        <x:v>0.009740012153416064</x:v>
      </x:c>
      <x:c r="H14" s="144" t="n">
        <x:v>0.04702976624451254</x:v>
      </x:c>
      <x:c r="I14" s="137" t="str">
        <x:v>POSITIVE-MODEL-MARGIN</x:v>
      </x:c>
      <x:c r="J14" s="137" t="str">
        <x:v>V0.7-CONTROLLED-RESEARCH-SCREEN-NOT-DISTRIBUTION</x:v>
      </x:c>
    </x:row>
    <x:row r="15" ht="22" customHeight="1">
      <x:c r="A15" s="136" t="str">
        <x:v>SCR-0010</x:v>
      </x:c>
      <x:c r="B15" s="143" t="n">
        <x:v>1e-7</x:v>
      </x:c>
      <x:c r="C15" s="143" t="n">
        <x:v>0.005461538461538462</x:v>
      </x:c>
      <x:c r="D15" s="161" t="n">
        <x:v>221</x:v>
      </x:c>
      <x:c r="E15" s="163" t="n">
        <x:v>121149.42324920003</x:v>
      </x:c>
      <x:c r="F15" s="163" t="n">
        <x:v>121149</x:v>
      </x:c>
      <x:c r="G15" s="145" t="n">
        <x:v>0.01004485318336808</x:v>
      </x:c>
      <x:c r="H15" s="145" t="n">
        <x:v>0.04828281515721939</x:v>
      </x:c>
      <x:c r="I15" s="136" t="str">
        <x:v>POSITIVE-MODEL-MARGIN</x:v>
      </x:c>
      <x:c r="J15" s="136" t="str">
        <x:v>V0.7-CONTROLLED-RESEARCH-SCREEN-NOT-DISTRIBUTION</x:v>
      </x:c>
    </x:row>
    <x:row r="16" ht="22" customHeight="1">
      <x:c r="A16" s="137" t="str">
        <x:v>SCR-0011</x:v>
      </x:c>
      <x:c r="B16" s="142" t="n">
        <x:v>1e-7</x:v>
      </x:c>
      <x:c r="C16" s="142" t="n">
        <x:v>0.0057692307692307696</x:v>
      </x:c>
      <x:c r="D16" s="160" t="n">
        <x:v>221</x:v>
      </x:c>
      <x:c r="E16" s="162" t="n">
        <x:v>118592.15109916296</x:v>
      </x:c>
      <x:c r="F16" s="162" t="n">
        <x:v>118592</x:v>
      </x:c>
      <x:c r="G16" s="144" t="n">
        <x:v>0.010349694213320096</x:v>
      </x:c>
      <x:c r="H16" s="144" t="n">
        <x:v>0.049532583067136975</x:v>
      </x:c>
      <x:c r="I16" s="137" t="str">
        <x:v>POSITIVE-MODEL-MARGIN</x:v>
      </x:c>
      <x:c r="J16" s="137" t="str">
        <x:v>V0.7-CONTROLLED-RESEARCH-SCREEN-NOT-DISTRIBUTION</x:v>
      </x:c>
    </x:row>
    <x:row r="17" ht="22" customHeight="1">
      <x:c r="A17" s="136" t="str">
        <x:v>SCR-0012</x:v>
      </x:c>
      <x:c r="B17" s="143" t="n">
        <x:v>1e-7</x:v>
      </x:c>
      <x:c r="C17" s="143" t="n">
        <x:v>0.006076923076923077</x:v>
      </x:c>
      <x:c r="D17" s="161" t="n">
        <x:v>221</x:v>
      </x:c>
      <x:c r="E17" s="163" t="n">
        <x:v>116062.21614394579</x:v>
      </x:c>
      <x:c r="F17" s="163" t="n">
        <x:v>116062</x:v>
      </x:c>
      <x:c r="G17" s="145" t="n">
        <x:v>0.010654535243272112</x:v>
      </x:c>
      <x:c r="H17" s="145" t="n">
        <x:v>0.05077921014034406</x:v>
      </x:c>
      <x:c r="I17" s="136" t="str">
        <x:v>POSITIVE-MODEL-MARGIN</x:v>
      </x:c>
      <x:c r="J17" s="136" t="str">
        <x:v>V0.7-CONTROLLED-RESEARCH-SCREEN-NOT-DISTRIBUTION</x:v>
      </x:c>
    </x:row>
    <x:row r="18" ht="22" customHeight="1">
      <x:c r="A18" s="137" t="str">
        <x:v>SCR-0013</x:v>
      </x:c>
      <x:c r="B18" s="142" t="n">
        <x:v>1e-7</x:v>
      </x:c>
      <x:c r="C18" s="142" t="n">
        <x:v>0.006384615384615384</x:v>
      </x:c>
      <x:c r="D18" s="160" t="n">
        <x:v>221</x:v>
      </x:c>
      <x:c r="E18" s="162" t="n">
        <x:v>113549.8228409673</x:v>
      </x:c>
      <x:c r="F18" s="162" t="n">
        <x:v>113549</x:v>
      </x:c>
      <x:c r="G18" s="144" t="n">
        <x:v>0.010959376273224125</x:v>
      </x:c>
      <x:c r="H18" s="144" t="n">
        <x:v>0.05202282659693855</x:v>
      </x:c>
      <x:c r="I18" s="137" t="str">
        <x:v>POSITIVE-MODEL-MARGIN</x:v>
      </x:c>
      <x:c r="J18" s="137" t="str">
        <x:v>V0.7-CONTROLLED-RESEARCH-SCREEN-NOT-DISTRIBUTION</x:v>
      </x:c>
    </x:row>
    <x:row r="19" ht="22" customHeight="1">
      <x:c r="A19" s="136" t="str">
        <x:v>SCR-0014</x:v>
      </x:c>
      <x:c r="B19" s="143" t="n">
        <x:v>1e-7</x:v>
      </x:c>
      <x:c r="C19" s="143" t="n">
        <x:v>0.006692307692307693</x:v>
      </x:c>
      <x:c r="D19" s="161" t="n">
        <x:v>221</x:v>
      </x:c>
      <x:c r="E19" s="163" t="n">
        <x:v>111063.34370097019</x:v>
      </x:c>
      <x:c r="F19" s="163" t="n">
        <x:v>111063</x:v>
      </x:c>
      <x:c r="G19" s="145" t="n">
        <x:v>0.011264217303176142</x:v>
      </x:c>
      <x:c r="H19" s="145" t="n">
        <x:v>0.053263553673494085</x:v>
      </x:c>
      <x:c r="I19" s="136" t="str">
        <x:v>POSITIVE-MODEL-MARGIN</x:v>
      </x:c>
      <x:c r="J19" s="136" t="str">
        <x:v>V0.7-CONTROLLED-RESEARCH-SCREEN-NOT-DISTRIBUTION</x:v>
      </x:c>
    </x:row>
    <x:row r="20" ht="22" customHeight="1">
      <x:c r="A20" s="137" t="str">
        <x:v>SCR-0015</x:v>
      </x:c>
      <x:c r="B20" s="142" t="n">
        <x:v>1e-7</x:v>
      </x:c>
      <x:c r="C20" s="142" t="n">
        <x:v>0.007</x:v>
      </x:c>
      <x:c r="D20" s="160" t="n">
        <x:v>221</x:v>
      </x:c>
      <x:c r="E20" s="162" t="n">
        <x:v>108597.62585866511</x:v>
      </x:c>
      <x:c r="F20" s="162" t="n">
        <x:v>108597</x:v>
      </x:c>
      <x:c r="G20" s="144" t="n">
        <x:v>0.011569058333128159</x:v>
      </x:c>
      <x:c r="H20" s="144" t="n">
        <x:v>0.05450150446892825</x:v>
      </x:c>
      <x:c r="I20" s="137" t="str">
        <x:v>POSITIVE-MODEL-MARGIN</x:v>
      </x:c>
      <x:c r="J20" s="137" t="str">
        <x:v>V0.7-CONTROLLED-RESEARCH-SCREEN-NOT-DISTRIBUTION</x:v>
      </x:c>
    </x:row>
    <x:row r="21" ht="22" customHeight="1">
      <x:c r="A21" s="136" t="str">
        <x:v>SCR-0016</x:v>
      </x:c>
      <x:c r="B21" s="143" t="n">
        <x:v>1e-7</x:v>
      </x:c>
      <x:c r="C21" s="143" t="n">
        <x:v>0.007307692307692308</x:v>
      </x:c>
      <x:c r="D21" s="161" t="n">
        <x:v>221</x:v>
      </x:c>
      <x:c r="E21" s="163" t="n">
        <x:v>106152.08274425338</x:v>
      </x:c>
      <x:c r="F21" s="163" t="n">
        <x:v>106152</x:v>
      </x:c>
      <x:c r="G21" s="145" t="n">
        <x:v>0.011873899363080174</x:v>
      </x:c>
      <x:c r="H21" s="145" t="n">
        <x:v>0.05573678469059435</x:v>
      </x:c>
      <x:c r="I21" s="136" t="str">
        <x:v>POSITIVE-MODEL-MARGIN</x:v>
      </x:c>
      <x:c r="J21" s="136" t="str">
        <x:v>V0.7-CONTROLLED-RESEARCH-SCREEN-NOT-DISTRIBUTION</x:v>
      </x:c>
    </x:row>
    <x:row r="22" ht="22" customHeight="1">
      <x:c r="A22" s="137" t="str">
        <x:v>SCR-0017</x:v>
      </x:c>
      <x:c r="B22" s="142" t="n">
        <x:v>1e-7</x:v>
      </x:c>
      <x:c r="C22" s="142" t="n">
        <x:v>0.007615384615384616</x:v>
      </x:c>
      <x:c r="D22" s="160" t="n">
        <x:v>221</x:v>
      </x:c>
      <x:c r="E22" s="162" t="n">
        <x:v>103730.5559596446</x:v>
      </x:c>
      <x:c r="F22" s="162" t="n">
        <x:v>103730</x:v>
      </x:c>
      <x:c r="G22" s="144" t="n">
        <x:v>0.012178740393032189</x:v>
      </x:c>
      <x:c r="H22" s="144" t="n">
        <x:v>0.056969493314617065</x:v>
      </x:c>
      <x:c r="I22" s="137" t="str">
        <x:v>POSITIVE-MODEL-MARGIN</x:v>
      </x:c>
      <x:c r="J22" s="137" t="str">
        <x:v>V0.7-CONTROLLED-RESEARCH-SCREEN-NOT-DISTRIBUTION</x:v>
      </x:c>
    </x:row>
    <x:row r="23" ht="22" customHeight="1">
      <x:c r="A23" s="136" t="str">
        <x:v>SCR-0018</x:v>
      </x:c>
      <x:c r="B23" s="143" t="n">
        <x:v>1e-7</x:v>
      </x:c>
      <x:c r="C23" s="143" t="n">
        <x:v>0.007923076923076923</x:v>
      </x:c>
      <x:c r="D23" s="161" t="n">
        <x:v>221</x:v>
      </x:c>
      <x:c r="E23" s="163" t="n">
        <x:v>101323.70443415317</x:v>
      </x:c>
      <x:c r="F23" s="163" t="n">
        <x:v>101323</x:v>
      </x:c>
      <x:c r="G23" s="145" t="n">
        <x:v>0.012483581422984205</x:v>
      </x:c>
      <x:c r="H23" s="145" t="n">
        <x:v>0.05819972317222147</x:v>
      </x:c>
      <x:c r="I23" s="136" t="str">
        <x:v>POSITIVE-MODEL-MARGIN</x:v>
      </x:c>
      <x:c r="J23" s="136" t="str">
        <x:v>V0.7-CONTROLLED-RESEARCH-SCREEN-NOT-DISTRIBUTION</x:v>
      </x:c>
    </x:row>
    <x:row r="24" ht="22" customHeight="1">
      <x:c r="A24" s="137" t="str">
        <x:v>SCR-0019</x:v>
      </x:c>
      <x:c r="B24" s="142" t="n">
        <x:v>1e-7</x:v>
      </x:c>
      <x:c r="C24" s="142" t="n">
        <x:v>0.00823076923076923</x:v>
      </x:c>
      <x:c r="D24" s="160" t="n">
        <x:v>221</x:v>
      </x:c>
      <x:c r="E24" s="162" t="n">
        <x:v>98935.45266407267</x:v>
      </x:c>
      <x:c r="F24" s="162" t="n">
        <x:v>98935</x:v>
      </x:c>
      <x:c r="G24" s="144" t="n">
        <x:v>0.012788422452936219</x:v>
      </x:c>
      <x:c r="H24" s="144" t="n">
        <x:v>0.05942756147194868</x:v>
      </x:c>
      <x:c r="I24" s="137" t="str">
        <x:v>POSITIVE-MODEL-MARGIN</x:v>
      </x:c>
      <x:c r="J24" s="137" t="str">
        <x:v>V0.7-CONTROLLED-RESEARCH-SCREEN-NOT-DISTRIBUTION</x:v>
      </x:c>
    </x:row>
    <x:row r="25" ht="22" customHeight="1">
      <x:c r="A25" s="136" t="str">
        <x:v>SCR-0020</x:v>
      </x:c>
      <x:c r="B25" s="143" t="n">
        <x:v>1e-7</x:v>
      </x:c>
      <x:c r="C25" s="143" t="n">
        <x:v>0.00853846153846154</x:v>
      </x:c>
      <x:c r="D25" s="161" t="n">
        <x:v>221</x:v>
      </x:c>
      <x:c r="E25" s="163" t="n">
        <x:v>96569.65155778448</x:v>
      </x:c>
      <x:c r="F25" s="163" t="n">
        <x:v>96569</x:v>
      </x:c>
      <x:c r="G25" s="145" t="n">
        <x:v>0.013093263482888235</x:v>
      </x:c>
      <x:c r="H25" s="145" t="n">
        <x:v>0.06065309026612524</x:v>
      </x:c>
      <x:c r="I25" s="136" t="str">
        <x:v>POSITIVE-MODEL-MARGIN</x:v>
      </x:c>
      <x:c r="J25" s="136" t="str">
        <x:v>V0.7-CONTROLLED-RESEARCH-SCREEN-NOT-DISTRIBUTION</x:v>
      </x:c>
    </x:row>
    <x:row r="26" ht="22" customHeight="1">
      <x:c r="A26" s="137" t="str">
        <x:v>SCR-0021</x:v>
      </x:c>
      <x:c r="B26" s="142" t="n">
        <x:v>1e-7</x:v>
      </x:c>
      <x:c r="C26" s="142" t="n">
        <x:v>0.008846153846153847</x:v>
      </x:c>
      <x:c r="D26" s="160" t="n">
        <x:v>221</x:v>
      </x:c>
      <x:c r="E26" s="162" t="n">
        <x:v>94221.48394585495</x:v>
      </x:c>
      <x:c r="F26" s="162" t="n">
        <x:v>94221</x:v>
      </x:c>
      <x:c r="G26" s="144" t="n">
        <x:v>0.013398104512840252</x:v>
      </x:c>
      <x:c r="H26" s="144" t="n">
        <x:v>0.061876386868692755</x:v>
      </x:c>
      <x:c r="I26" s="137" t="str">
        <x:v>POSITIVE-MODEL-MARGIN</x:v>
      </x:c>
      <x:c r="J26" s="137" t="str">
        <x:v>V0.7-CONTROLLED-RESEARCH-SCREEN-NOT-DISTRIBUTION</x:v>
      </x:c>
    </x:row>
    <x:row r="27" ht="22" customHeight="1">
      <x:c r="A27" s="136" t="str">
        <x:v>SCR-0022</x:v>
      </x:c>
      <x:c r="B27" s="143" t="n">
        <x:v>1e-7</x:v>
      </x:c>
      <x:c r="C27" s="143" t="n">
        <x:v>0.009153846153846155</x:v>
      </x:c>
      <x:c r="D27" s="161" t="n">
        <x:v>221</x:v>
      </x:c>
      <x:c r="E27" s="163" t="n">
        <x:v>91886.24882080317</x:v>
      </x:c>
      <x:c r="F27" s="163" t="n">
        <x:v>91886</x:v>
      </x:c>
      <x:c r="G27" s="145" t="n">
        <x:v>0.013702945542792265</x:v>
      </x:c>
      <x:c r="H27" s="145" t="n">
        <x:v>0.06309752423045778</x:v>
      </x:c>
      <x:c r="I27" s="136" t="str">
        <x:v>POSITIVE-MODEL-MARGIN</x:v>
      </x:c>
      <x:c r="J27" s="136" t="str">
        <x:v>V0.7-CONTROLLED-RESEARCH-SCREEN-NOT-DISTRIBUTION</x:v>
      </x:c>
    </x:row>
    <x:row r="28" ht="22" customHeight="1">
      <x:c r="A28" s="137" t="str">
        <x:v>SCR-0023</x:v>
      </x:c>
      <x:c r="B28" s="142" t="n">
        <x:v>1e-7</x:v>
      </x:c>
      <x:c r="C28" s="142" t="n">
        <x:v>0.009461538461538462</x:v>
      </x:c>
      <x:c r="D28" s="160" t="n">
        <x:v>221</x:v>
      </x:c>
      <x:c r="E28" s="162" t="n">
        <x:v>89572.11672650637</x:v>
      </x:c>
      <x:c r="F28" s="162" t="n">
        <x:v>89572</x:v>
      </x:c>
      <x:c r="G28" s="144" t="n">
        <x:v>0.014007786572744282</x:v>
      </x:c>
      <x:c r="H28" s="144" t="n">
        <x:v>0.06431657127694912</x:v>
      </x:c>
      <x:c r="I28" s="137" t="str">
        <x:v>POSITIVE-MODEL-MARGIN</x:v>
      </x:c>
      <x:c r="J28" s="137" t="str">
        <x:v>V0.7-CONTROLLED-RESEARCH-SCREEN-NOT-DISTRIBUTION</x:v>
      </x:c>
    </x:row>
    <x:row r="29" ht="22" customHeight="1">
      <x:c r="A29" s="136" t="str">
        <x:v>SCR-0024</x:v>
      </x:c>
      <x:c r="B29" s="143" t="n">
        <x:v>1e-7</x:v>
      </x:c>
      <x:c r="C29" s="143" t="n">
        <x:v>0.00976923076923077</x:v>
      </x:c>
      <x:c r="D29" s="161" t="n">
        <x:v>221</x:v>
      </x:c>
      <x:c r="E29" s="163" t="n">
        <x:v>87274.40287790583</x:v>
      </x:c>
      <x:c r="F29" s="163" t="n">
        <x:v>87274</x:v>
      </x:c>
      <x:c r="G29" s="145" t="n">
        <x:v>0.014312627602696299</x:v>
      </x:c>
      <x:c r="H29" s="145" t="n">
        <x:v>0.06553359321333932</x:v>
      </x:c>
      <x:c r="I29" s="136" t="str">
        <x:v>POSITIVE-MODEL-MARGIN</x:v>
      </x:c>
      <x:c r="J29" s="136" t="str">
        <x:v>V0.7-CONTROLLED-RESEARCH-SCREEN-NOT-DISTRIBUTION</x:v>
      </x:c>
    </x:row>
    <x:row r="30" ht="22" customHeight="1">
      <x:c r="A30" s="137" t="str">
        <x:v>SCR-0025</x:v>
      </x:c>
      <x:c r="B30" s="142" t="n">
        <x:v>1e-7</x:v>
      </x:c>
      <x:c r="C30" s="142" t="n">
        <x:v>0.010076923076923077</x:v>
      </x:c>
      <x:c r="D30" s="160" t="n">
        <x:v>221</x:v>
      </x:c>
      <x:c r="E30" s="162" t="n">
        <x:v>84992.73918321024</x:v>
      </x:c>
      <x:c r="F30" s="162" t="n">
        <x:v>84992</x:v>
      </x:c>
      <x:c r="G30" s="144" t="n">
        <x:v>0.014617468632648312</x:v>
      </x:c>
      <x:c r="H30" s="144" t="n">
        <x:v>0.06674865180027262</x:v>
      </x:c>
      <x:c r="I30" s="137" t="str">
        <x:v>POSITIVE-MODEL-MARGIN</x:v>
      </x:c>
      <x:c r="J30" s="137" t="str">
        <x:v>V0.7-CONTROLLED-RESEARCH-SCREEN-NOT-DISTRIBUTION</x:v>
      </x:c>
    </x:row>
    <x:row r="31" ht="22" customHeight="1">
      <x:c r="A31" s="136" t="str">
        <x:v>SCR-0026</x:v>
      </x:c>
      <x:c r="B31" s="143" t="n">
        <x:v>1e-7</x:v>
      </x:c>
      <x:c r="C31" s="143" t="n">
        <x:v>0.010384615384615384</x:v>
      </x:c>
      <x:c r="D31" s="161" t="n">
        <x:v>220</x:v>
      </x:c>
      <x:c r="E31" s="163" t="n">
        <x:v>82726.99624007447</x:v>
      </x:c>
      <x:c r="F31" s="163" t="n">
        <x:v>82726</x:v>
      </x:c>
      <x:c r="G31" s="145" t="n">
        <x:v>0.014907979110419991</x:v>
      </x:c>
      <x:c r="H31" s="145" t="n">
        <x:v>0.06792103753495893</x:v>
      </x:c>
      <x:c r="I31" s="136" t="str">
        <x:v>POSITIVE-MODEL-MARGIN</x:v>
      </x:c>
      <x:c r="J31" s="136" t="str">
        <x:v>V0.7-CONTROLLED-RESEARCH-SCREEN-NOT-DISTRIBUTION</x:v>
      </x:c>
    </x:row>
    <x:row r="32" ht="22" customHeight="1">
      <x:c r="A32" s="137" t="str">
        <x:v>SCR-0027</x:v>
      </x:c>
      <x:c r="B32" s="142" t="n">
        <x:v>1e-7</x:v>
      </x:c>
      <x:c r="C32" s="142" t="n">
        <x:v>0.010692307692307692</x:v>
      </x:c>
      <x:c r="D32" s="160" t="n">
        <x:v>220</x:v>
      </x:c>
      <x:c r="E32" s="162" t="n">
        <x:v>80476.95004840667</x:v>
      </x:c>
      <x:c r="F32" s="162" t="n">
        <x:v>80476</x:v>
      </x:c>
      <x:c r="G32" s="144" t="n">
        <x:v>0.015212829146219681</x:v>
      </x:c>
      <x:c r="H32" s="144" t="n">
        <x:v>0.06913268503791414</x:v>
      </x:c>
      <x:c r="I32" s="137" t="str">
        <x:v>POSITIVE-MODEL-MARGIN</x:v>
      </x:c>
      <x:c r="J32" s="137" t="str">
        <x:v>V0.7-CONTROLLED-RESEARCH-SCREEN-NOT-DISTRIBUTION</x:v>
      </x:c>
    </x:row>
    <x:row r="33" ht="22" customHeight="1">
      <x:c r="A33" s="136" t="str">
        <x:v>SCR-0028</x:v>
      </x:c>
      <x:c r="B33" s="143" t="n">
        <x:v>1e-7</x:v>
      </x:c>
      <x:c r="C33" s="143" t="n">
        <x:v>0.011</x:v>
      </x:c>
      <x:c r="D33" s="161" t="n">
        <x:v>220</x:v>
      </x:c>
      <x:c r="E33" s="163" t="n">
        <x:v>78246.1044885205</x:v>
      </x:c>
      <x:c r="F33" s="163" t="n">
        <x:v>78246</x:v>
      </x:c>
      <x:c r="G33" s="145" t="n">
        <x:v>0.015517679182019366</x:v>
      </x:c>
      <x:c r="H33" s="145" t="n">
        <x:v>0.07034253253217812</x:v>
      </x:c>
      <x:c r="I33" s="136" t="str">
        <x:v>POSITIVE-MODEL-MARGIN</x:v>
      </x:c>
      <x:c r="J33" s="136" t="str">
        <x:v>V0.7-CONTROLLED-RESEARCH-SCREEN-NOT-DISTRIBUTION</x:v>
      </x:c>
    </x:row>
    <x:row r="34" ht="22" customHeight="1">
      <x:c r="A34" s="137" t="str">
        <x:v>SCR-0029</x:v>
      </x:c>
      <x:c r="B34" s="142" t="n">
        <x:v>1e-7</x:v>
      </x:c>
      <x:c r="C34" s="142" t="n">
        <x:v>0.011307692307692307</x:v>
      </x:c>
      <x:c r="D34" s="160" t="n">
        <x:v>219</x:v>
      </x:c>
      <x:c r="E34" s="162" t="n">
        <x:v>76029.41076667795</x:v>
      </x:c>
      <x:c r="F34" s="162" t="n">
        <x:v>76029</x:v>
      </x:c>
      <x:c r="G34" s="144" t="n">
        <x:v>0.015808221135277762</x:v>
      </x:c>
      <x:c r="H34" s="144" t="n">
        <x:v>0.0715110272127735</x:v>
      </x:c>
      <x:c r="I34" s="137" t="str">
        <x:v>POSITIVE-MODEL-MARGIN</x:v>
      </x:c>
      <x:c r="J34" s="137" t="str">
        <x:v>V0.7-CONTROLLED-RESEARCH-SCREEN-NOT-DISTRIBUTION</x:v>
      </x:c>
    </x:row>
    <x:row r="35" ht="22" customHeight="1">
      <x:c r="A35" s="136" t="str">
        <x:v>SCR-0030</x:v>
      </x:c>
      <x:c r="B35" s="143" t="n">
        <x:v>1e-7</x:v>
      </x:c>
      <x:c r="C35" s="143" t="n">
        <x:v>0.011615384615384614</x:v>
      </x:c>
      <x:c r="D35" s="161" t="n">
        <x:v>218</x:v>
      </x:c>
      <x:c r="E35" s="163" t="n">
        <x:v>73827.43960604553</x:v>
      </x:c>
      <x:c r="F35" s="163" t="n">
        <x:v>73827</x:v>
      </x:c>
      <x:c r="G35" s="145" t="n">
        <x:v>0.016098799706752553</x:v>
      </x:c>
      <x:c r="H35" s="145" t="n">
        <x:v>0.07267891554793615</x:v>
      </x:c>
      <x:c r="I35" s="136" t="str">
        <x:v>POSITIVE-MODEL-MARGIN</x:v>
      </x:c>
      <x:c r="J35" s="136" t="str">
        <x:v>V0.7-CONTROLLED-RESEARCH-SCREEN-NOT-DISTRIBUTION</x:v>
      </x:c>
    </x:row>
    <x:row r="36" ht="22" customHeight="1">
      <x:c r="A36" s="137" t="str">
        <x:v>SCR-0031</x:v>
      </x:c>
      <x:c r="B36" s="142" t="n">
        <x:v>1e-7</x:v>
      </x:c>
      <x:c r="C36" s="142" t="n">
        <x:v>0.011923076923076925</x:v>
      </x:c>
      <x:c r="D36" s="160" t="n">
        <x:v>217</x:v>
      </x:c>
      <x:c r="E36" s="162" t="n">
        <x:v>71642.49875299471</x:v>
      </x:c>
      <x:c r="F36" s="162" t="n">
        <x:v>71642</x:v>
      </x:c>
      <x:c r="G36" s="144" t="n">
        <x:v>0.01638939107876494</x:v>
      </x:c>
      <x:c r="H36" s="144" t="n">
        <x:v>0.07384597096264864</x:v>
      </x:c>
      <x:c r="I36" s="137" t="str">
        <x:v>POSITIVE-MODEL-MARGIN</x:v>
      </x:c>
      <x:c r="J36" s="137" t="str">
        <x:v>V0.7-CONTROLLED-RESEARCH-SCREEN-NOT-DISTRIBUTION</x:v>
      </x:c>
    </x:row>
    <x:row r="37" ht="22" customHeight="1">
      <x:c r="A37" s="136" t="str">
        <x:v>SCR-0032</x:v>
      </x:c>
      <x:c r="B37" s="143" t="n">
        <x:v>1e-7</x:v>
      </x:c>
      <x:c r="C37" s="143" t="n">
        <x:v>0.012230769230769233</x:v>
      </x:c>
      <x:c r="D37" s="161" t="n">
        <x:v>216</x:v>
      </x:c>
      <x:c r="E37" s="163" t="n">
        <x:v>69474.33142614283</x:v>
      </x:c>
      <x:c r="F37" s="163" t="n">
        <x:v>69474</x:v>
      </x:c>
      <x:c r="G37" s="145" t="n">
        <x:v>0.01667999499413387</x:v>
      </x:c>
      <x:c r="H37" s="145" t="n">
        <x:v>0.07501223591645895</x:v>
      </x:c>
      <x:c r="I37" s="136" t="str">
        <x:v>POSITIVE-MODEL-MARGIN</x:v>
      </x:c>
      <x:c r="J37" s="136" t="str">
        <x:v>V0.7-CONTROLLED-RESEARCH-SCREEN-NOT-DISTRIBUTION</x:v>
      </x:c>
    </x:row>
    <x:row r="38" ht="22" customHeight="1">
      <x:c r="A38" s="137" t="str">
        <x:v>SCR-0033</x:v>
      </x:c>
      <x:c r="B38" s="142" t="n">
        <x:v>1e-7</x:v>
      </x:c>
      <x:c r="C38" s="142" t="n">
        <x:v>0.01253846153846154</x:v>
      </x:c>
      <x:c r="D38" s="160" t="n">
        <x:v>211</x:v>
      </x:c>
      <x:c r="E38" s="162" t="n">
        <x:v>67324.47185182995</x:v>
      </x:c>
      <x:c r="F38" s="162" t="n">
        <x:v>67324</x:v>
      </x:c>
      <x:c r="G38" s="144" t="n">
        <x:v>0.016913675707381014</x:v>
      </x:c>
      <x:c r="H38" s="144" t="n">
        <x:v>0.07603235611254532</x:v>
      </x:c>
      <x:c r="I38" s="137" t="str">
        <x:v>POSITIVE-MODEL-MARGIN</x:v>
      </x:c>
      <x:c r="J38" s="137" t="str">
        <x:v>V0.7-CONTROLLED-RESEARCH-SCREEN-NOT-DISTRIBUTION</x:v>
      </x:c>
    </x:row>
    <x:row r="39" ht="22" customHeight="1">
      <x:c r="A39" s="136" t="str">
        <x:v>SCR-0034</x:v>
      </x:c>
      <x:c r="B39" s="143" t="n">
        <x:v>1e-7</x:v>
      </x:c>
      <x:c r="C39" s="143" t="n">
        <x:v>0.012846153846153847</x:v>
      </x:c>
      <x:c r="D39" s="161" t="n">
        <x:v>211</x:v>
      </x:c>
      <x:c r="E39" s="163" t="n">
        <x:v>65187.623056771256</x:v>
      </x:c>
      <x:c r="F39" s="163" t="n">
        <x:v>65187</x:v>
      </x:c>
      <x:c r="G39" s="145" t="n">
        <x:v>0.017218606698635924</x:v>
      </x:c>
      <x:c r="H39" s="145" t="n">
        <x:v>0.07723543708549159</x:v>
      </x:c>
      <x:c r="I39" s="136" t="str">
        <x:v>POSITIVE-MODEL-MARGIN</x:v>
      </x:c>
      <x:c r="J39" s="136" t="str">
        <x:v>V0.7-CONTROLLED-RESEARCH-SCREEN-NOT-DISTRIBUTION</x:v>
      </x:c>
    </x:row>
    <x:row r="40" ht="22" customHeight="1">
      <x:c r="A40" s="137" t="str">
        <x:v>SCR-0035</x:v>
      </x:c>
      <x:c r="B40" s="142" t="n">
        <x:v>1e-7</x:v>
      </x:c>
      <x:c r="C40" s="142" t="n">
        <x:v>0.013153846153846155</x:v>
      </x:c>
      <x:c r="D40" s="160" t="n">
        <x:v>210</x:v>
      </x:c>
      <x:c r="E40" s="162" t="n">
        <x:v>63067.984900904885</x:v>
      </x:c>
      <x:c r="F40" s="162" t="n">
        <x:v>63067</x:v>
      </x:c>
      <x:c r="G40" s="144" t="n">
        <x:v>0.017509321258307925</x:v>
      </x:c>
      <x:c r="H40" s="144" t="n">
        <x:v>0.07840196142223085</x:v>
      </x:c>
      <x:c r="I40" s="137" t="str">
        <x:v>POSITIVE-MODEL-MARGIN</x:v>
      </x:c>
      <x:c r="J40" s="137" t="str">
        <x:v>V0.7-CONTROLLED-RESEARCH-SCREEN-NOT-DISTRIBUTION</x:v>
      </x:c>
    </x:row>
    <x:row r="41" ht="22" customHeight="1">
      <x:c r="A41" s="136" t="str">
        <x:v>SCR-0036</x:v>
      </x:c>
      <x:c r="B41" s="143" t="n">
        <x:v>1e-7</x:v>
      </x:c>
      <x:c r="C41" s="143" t="n">
        <x:v>0.013461538461538462</x:v>
      </x:c>
      <x:c r="D41" s="161" t="n">
        <x:v>210</x:v>
      </x:c>
      <x:c r="E41" s="163" t="n">
        <x:v>60961.8573848319</x:v>
      </x:c>
      <x:c r="F41" s="163" t="n">
        <x:v>60961</x:v>
      </x:c>
      <x:c r="G41" s="145" t="n">
        <x:v>0.017814261234511176</x:v>
      </x:c>
      <x:c r="H41" s="145" t="n">
        <x:v>0.07960239684949907</x:v>
      </x:c>
      <x:c r="I41" s="136" t="str">
        <x:v>POSITIVE-MODEL-MARGIN</x:v>
      </x:c>
      <x:c r="J41" s="136" t="str">
        <x:v>V0.7-CONTROLLED-RESEARCH-SCREEN-NOT-DISTRIBUTION</x:v>
      </x:c>
    </x:row>
    <x:row r="42" ht="22" customHeight="1">
      <x:c r="A42" s="137" t="str">
        <x:v>SCR-0037</x:v>
      </x:c>
      <x:c r="B42" s="142" t="n">
        <x:v>1e-7</x:v>
      </x:c>
      <x:c r="C42" s="142" t="n">
        <x:v>0.01376923076923077</x:v>
      </x:c>
      <x:c r="D42" s="160" t="n">
        <x:v>209</x:v>
      </x:c>
      <x:c r="E42" s="162" t="n">
        <x:v>58869.08120552934</x:v>
      </x:c>
      <x:c r="F42" s="162" t="n">
        <x:v>58869</x:v>
      </x:c>
      <x:c r="G42" s="144" t="n">
        <x:v>0.01810501782097689</x:v>
      </x:c>
      <x:c r="H42" s="144" t="n">
        <x:v>0.08076750679920758</x:v>
      </x:c>
      <x:c r="I42" s="137" t="str">
        <x:v>POSITIVE-MODEL-MARGIN</x:v>
      </x:c>
      <x:c r="J42" s="137" t="str">
        <x:v>V0.7-CONTROLLED-RESEARCH-SCREEN-NOT-DISTRIBUTION</x:v>
      </x:c>
    </x:row>
    <x:row r="43" ht="22" customHeight="1">
      <x:c r="A43" s="136" t="str">
        <x:v>SCR-0038</x:v>
      </x:c>
      <x:c r="B43" s="143" t="n">
        <x:v>1e-7</x:v>
      </x:c>
      <x:c r="C43" s="143" t="n">
        <x:v>0.014076923076923077</x:v>
      </x:c>
      <x:c r="D43" s="161" t="n">
        <x:v>206</x:v>
      </x:c>
      <x:c r="E43" s="163" t="n">
        <x:v>56793.32150734122</x:v>
      </x:c>
      <x:c r="F43" s="163" t="n">
        <x:v>56793</x:v>
      </x:c>
      <x:c r="G43" s="145" t="n">
        <x:v>0.018367484192820322</x:v>
      </x:c>
      <x:c r="H43" s="145" t="n">
        <x:v>0.08186703805599738</x:v>
      </x:c>
      <x:c r="I43" s="136" t="str">
        <x:v>POSITIVE-MODEL-MARGIN</x:v>
      </x:c>
      <x:c r="J43" s="136" t="str">
        <x:v>V0.7-CONTROLLED-RESEARCH-SCREEN-NOT-DISTRIBUTION</x:v>
      </x:c>
    </x:row>
    <x:row r="44" ht="22" customHeight="1">
      <x:c r="A44" s="137" t="str">
        <x:v>SCR-0039</x:v>
      </x:c>
      <x:c r="B44" s="142" t="n">
        <x:v>1e-7</x:v>
      </x:c>
      <x:c r="C44" s="142" t="n">
        <x:v>0.014384615384615385</x:v>
      </x:c>
      <x:c r="D44" s="160" t="n">
        <x:v>205</x:v>
      </x:c>
      <x:c r="E44" s="162" t="n">
        <x:v>54731.46614476908</x:v>
      </x:c>
      <x:c r="F44" s="162" t="n">
        <x:v>54731</x:v>
      </x:c>
      <x:c r="G44" s="144" t="n">
        <x:v>0.018658305366508175</x:v>
      </x:c>
      <x:c r="H44" s="144" t="n">
        <x:v>0.0830327601053309</x:v>
      </x:c>
      <x:c r="I44" s="137" t="str">
        <x:v>POSITIVE-MODEL-MARGIN</x:v>
      </x:c>
      <x:c r="J44" s="137" t="str">
        <x:v>V0.7-CONTROLLED-RESEARCH-SCREEN-NOT-DISTRIBUTION</x:v>
      </x:c>
    </x:row>
    <x:row r="45" ht="22" customHeight="1">
      <x:c r="A45" s="136" t="str">
        <x:v>SCR-0040</x:v>
      </x:c>
      <x:c r="B45" s="143" t="n">
        <x:v>1e-7</x:v>
      </x:c>
      <x:c r="C45" s="143" t="n">
        <x:v>0.014692307692307692</x:v>
      </x:c>
      <x:c r="D45" s="161" t="n">
        <x:v>204</x:v>
      </x:c>
      <x:c r="E45" s="163" t="n">
        <x:v>52686.384723645075</x:v>
      </x:c>
      <x:c r="F45" s="163" t="n">
        <x:v>52686</x:v>
      </x:c>
      <x:c r="G45" s="145" t="n">
        <x:v>0.018949157473108127</x:v>
      </x:c>
      <x:c r="H45" s="145" t="n">
        <x:v>0.08419832480415022</x:v>
      </x:c>
      <x:c r="I45" s="136" t="str">
        <x:v>POSITIVE-MODEL-MARGIN</x:v>
      </x:c>
      <x:c r="J45" s="136" t="str">
        <x:v>V0.7-CONTROLLED-RESEARCH-SCREEN-NOT-DISTRIBUTION</x:v>
      </x:c>
    </x:row>
    <x:row r="46" ht="22" customHeight="1">
      <x:c r="A46" s="137" t="str">
        <x:v>SCR-0041</x:v>
      </x:c>
      <x:c r="B46" s="142" t="n">
        <x:v>1e-7</x:v>
      </x:c>
      <x:c r="C46" s="142" t="n">
        <x:v>0.015</x:v>
      </x:c>
      <x:c r="D46" s="160" t="n">
        <x:v>201</x:v>
      </x:c>
      <x:c r="E46" s="162" t="n">
        <x:v>50652.851906054966</x:v>
      </x:c>
      <x:c r="F46" s="162" t="n">
        <x:v>50652</x:v>
      </x:c>
      <x:c r="G46" s="144" t="n">
        <x:v>0.019211808817312256</x:v>
      </x:c>
      <x:c r="H46" s="144" t="n">
        <x:v>0.08530414476562798</x:v>
      </x:c>
      <x:c r="I46" s="137" t="str">
        <x:v>POSITIVE-MODEL-MARGIN</x:v>
      </x:c>
      <x:c r="J46" s="137" t="str">
        <x:v>V0.7-CONTROLLED-RESEARCH-SCREEN-NOT-DISTRIBUTION</x:v>
      </x:c>
    </x:row>
    <x:row r="47" ht="22" customHeight="1">
      <x:c r="A47" s="136" t="str">
        <x:v>SCR-0042</x:v>
      </x:c>
      <x:c r="B47" s="143" t="n">
        <x:v>1.4871794871794872e-7</x:v>
      </x:c>
      <x:c r="C47" s="143" t="n">
        <x:v>0.003</x:v>
      </x:c>
      <x:c r="D47" s="161" t="n">
        <x:v>201</x:v>
      </x:c>
      <x:c r="E47" s="163" t="n">
        <x:v>125372.5954648865</x:v>
      </x:c>
      <x:c r="F47" s="163" t="n">
        <x:v>125372</x:v>
      </x:c>
      <x:c r="G47" s="145" t="n">
        <x:v>0.009155339681626518</x:v>
      </x:c>
      <x:c r="H47" s="145" t="n">
        <x:v>0.04562623396422734</x:v>
      </x:c>
      <x:c r="I47" s="136" t="str">
        <x:v>POSITIVE-MODEL-MARGIN</x:v>
      </x:c>
      <x:c r="J47" s="136" t="str">
        <x:v>V0.7-CONTROLLED-RESEARCH-SCREEN-NOT-DISTRIBUTION</x:v>
      </x:c>
    </x:row>
    <x:row r="48" ht="22" customHeight="1">
      <x:c r="A48" s="137" t="str">
        <x:v>SCR-0043</x:v>
      </x:c>
      <x:c r="B48" s="142" t="n">
        <x:v>1.4871794871794872e-7</x:v>
      </x:c>
      <x:c r="C48" s="142" t="n">
        <x:v>0.003307692307692308</x:v>
      </x:c>
      <x:c r="D48" s="160" t="n">
        <x:v>200</x:v>
      </x:c>
      <x:c r="E48" s="162" t="n">
        <x:v>122788.47424563699</x:v>
      </x:c>
      <x:c r="F48" s="162" t="n">
        <x:v>122788</x:v>
      </x:c>
      <x:c r="G48" s="144" t="n">
        <x:v>0.009437908890713727</x:v>
      </x:c>
      <x:c r="H48" s="144" t="n">
        <x:v>0.04683399889852495</x:v>
      </x:c>
      <x:c r="I48" s="137" t="str">
        <x:v>POSITIVE-MODEL-MARGIN</x:v>
      </x:c>
      <x:c r="J48" s="137" t="str">
        <x:v>V0.7-CONTROLLED-RESEARCH-SCREEN-NOT-DISTRIBUTION</x:v>
      </x:c>
    </x:row>
    <x:row r="49" ht="22" customHeight="1">
      <x:c r="A49" s="136" t="str">
        <x:v>SCR-0044</x:v>
      </x:c>
      <x:c r="B49" s="143" t="n">
        <x:v>1.4871794871794872e-7</x:v>
      </x:c>
      <x:c r="C49" s="143" t="n">
        <x:v>0.0036153846153846154</x:v>
      </x:c>
      <x:c r="D49" s="161" t="n">
        <x:v>200</x:v>
      </x:c>
      <x:c r="E49" s="163" t="n">
        <x:v>120228.31376970738</x:v>
      </x:c>
      <x:c r="F49" s="163" t="n">
        <x:v>120228</x:v>
      </x:c>
      <x:c r="G49" s="145" t="n">
        <x:v>0.009741804035512776</x:v>
      </x:c>
      <x:c r="H49" s="145" t="n">
        <x:v>0.04811367743016721</x:v>
      </x:c>
      <x:c r="I49" s="136" t="str">
        <x:v>POSITIVE-MODEL-MARGIN</x:v>
      </x:c>
      <x:c r="J49" s="136" t="str">
        <x:v>V0.7-CONTROLLED-RESEARCH-SCREEN-NOT-DISTRIBUTION</x:v>
      </x:c>
    </x:row>
    <x:row r="50" ht="22" customHeight="1">
      <x:c r="A50" s="137" t="str">
        <x:v>SCR-0045</x:v>
      </x:c>
      <x:c r="B50" s="142" t="n">
        <x:v>1.4871794871794872e-7</x:v>
      </x:c>
      <x:c r="C50" s="142" t="n">
        <x:v>0.003923076923076923</x:v>
      </x:c>
      <x:c r="D50" s="160" t="n">
        <x:v>199</x:v>
      </x:c>
      <x:c r="E50" s="162" t="n">
        <x:v>117696.68733570636</x:v>
      </x:c>
      <x:c r="F50" s="162" t="n">
        <x:v>117696</x:v>
      </x:c>
      <x:c r="G50" s="144" t="n">
        <x:v>0.010024428540930694</x:v>
      </x:c>
      <x:c r="H50" s="144" t="n">
        <x:v>0.049316386171260655</x:v>
      </x:c>
      <x:c r="I50" s="137" t="str">
        <x:v>POSITIVE-MODEL-MARGIN</x:v>
      </x:c>
      <x:c r="J50" s="137" t="str">
        <x:v>V0.7-CONTROLLED-RESEARCH-SCREEN-NOT-DISTRIBUTION</x:v>
      </x:c>
    </x:row>
    <x:row r="51" ht="22" customHeight="1">
      <x:c r="A51" s="136" t="str">
        <x:v>SCR-0046</x:v>
      </x:c>
      <x:c r="B51" s="143" t="n">
        <x:v>1.4871794871794872e-7</x:v>
      </x:c>
      <x:c r="C51" s="143" t="n">
        <x:v>0.004230769230769231</x:v>
      </x:c>
      <x:c r="D51" s="161" t="n">
        <x:v>199</x:v>
      </x:c>
      <x:c r="E51" s="163" t="n">
        <x:v>115188.46952894166</x:v>
      </x:c>
      <x:c r="F51" s="163" t="n">
        <x:v>115188</x:v>
      </x:c>
      <x:c r="G51" s="145" t="n">
        <x:v>0.01032833687887334</x:v>
      </x:c>
      <x:c r="H51" s="145" t="n">
        <x:v>0.05058978212101821</x:v>
      </x:c>
      <x:c r="I51" s="136" t="str">
        <x:v>POSITIVE-MODEL-MARGIN</x:v>
      </x:c>
      <x:c r="J51" s="136" t="str">
        <x:v>V0.7-CONTROLLED-RESEARCH-SCREEN-NOT-DISTRIBUTION</x:v>
      </x:c>
    </x:row>
    <x:row r="52" ht="22" customHeight="1">
      <x:c r="A52" s="137" t="str">
        <x:v>SCR-0047</x:v>
      </x:c>
      <x:c r="B52" s="142" t="n">
        <x:v>1.4871794871794872e-7</x:v>
      </x:c>
      <x:c r="C52" s="142" t="n">
        <x:v>0.004538461538461538</x:v>
      </x:c>
      <x:c r="D52" s="160" t="n">
        <x:v>197</x:v>
      </x:c>
      <x:c r="E52" s="162" t="n">
        <x:v>112705.78682953227</x:v>
      </x:c>
      <x:c r="F52" s="162" t="n">
        <x:v>112705</x:v>
      </x:c>
      <x:c r="G52" s="144" t="n">
        <x:v>0.010589734496302612</x:v>
      </x:c>
      <x:c r="H52" s="144" t="n">
        <x:v>0.051715744461607586</x:v>
      </x:c>
      <x:c r="I52" s="137" t="str">
        <x:v>POSITIVE-MODEL-MARGIN</x:v>
      </x:c>
      <x:c r="J52" s="137" t="str">
        <x:v>V0.7-CONTROLLED-RESEARCH-SCREEN-NOT-DISTRIBUTION</x:v>
      </x:c>
    </x:row>
    <x:row r="53" ht="22" customHeight="1">
      <x:c r="A53" s="136" t="str">
        <x:v>SCR-0048</x:v>
      </x:c>
      <x:c r="B53" s="143" t="n">
        <x:v>1.4871794871794872e-7</x:v>
      </x:c>
      <x:c r="C53" s="143" t="n">
        <x:v>0.004846153846153846</x:v>
      </x:c>
      <x:c r="D53" s="161" t="n">
        <x:v>196</x:v>
      </x:c>
      <x:c r="E53" s="163" t="n">
        <x:v>110242.39601436815</x:v>
      </x:c>
      <x:c r="F53" s="163" t="n">
        <x:v>110242</x:v>
      </x:c>
      <x:c r="G53" s="145" t="n">
        <x:v>0.010872447996649201</x:v>
      </x:c>
      <x:c r="H53" s="145" t="n">
        <x:v>0.05291291458056627</x:v>
      </x:c>
      <x:c r="I53" s="136" t="str">
        <x:v>POSITIVE-MODEL-MARGIN</x:v>
      </x:c>
      <x:c r="J53" s="136" t="str">
        <x:v>V0.7-CONTROLLED-RESEARCH-SCREEN-NOT-DISTRIBUTION</x:v>
      </x:c>
    </x:row>
    <x:row r="54" ht="22" customHeight="1">
      <x:c r="A54" s="137" t="str">
        <x:v>SCR-0049</x:v>
      </x:c>
      <x:c r="B54" s="142" t="n">
        <x:v>1.4871794871794872e-7</x:v>
      </x:c>
      <x:c r="C54" s="142" t="n">
        <x:v>0.005</x:v>
      </x:c>
      <x:c r="D54" s="160" t="n">
        <x:v>196</x:v>
      </x:c>
      <x:c r="E54" s="162" t="n">
        <x:v>109023.28631379888</x:v>
      </x:c>
      <x:c r="F54" s="162" t="n">
        <x:v>109023</x:v>
      </x:c>
      <x:c r="G54" s="144" t="n">
        <x:v>0.011024421959181888</x:v>
      </x:c>
      <x:c r="H54" s="144" t="n">
        <x:v>0.05354618577778064</x:v>
      </x:c>
      <x:c r="I54" s="137" t="str">
        <x:v>POSITIVE-MODEL-MARGIN</x:v>
      </x:c>
      <x:c r="J54" s="137" t="str">
        <x:v>V0.7-CONTROLLED-RESEARCH-SCREEN-NOT-DISTRIBUTION</x:v>
      </x:c>
    </x:row>
    <x:row r="55" ht="22" customHeight="1">
      <x:c r="A55" s="136" t="str">
        <x:v>SCR-0050</x:v>
      </x:c>
      <x:c r="B55" s="143" t="n">
        <x:v>1.4871794871794872e-7</x:v>
      </x:c>
      <x:c r="C55" s="143" t="n">
        <x:v>0.005153846153846154</x:v>
      </x:c>
      <x:c r="D55" s="161" t="n">
        <x:v>196</x:v>
      </x:c>
      <x:c r="E55" s="163" t="n">
        <x:v>107804.89532791472</x:v>
      </x:c>
      <x:c r="F55" s="163" t="n">
        <x:v>107804</x:v>
      </x:c>
      <x:c r="G55" s="145" t="n">
        <x:v>0.011176395921714573</x:v>
      </x:c>
      <x:c r="H55" s="145" t="n">
        <x:v>0.05417872079815147</x:v>
      </x:c>
      <x:c r="I55" s="136" t="str">
        <x:v>POSITIVE-MODEL-MARGIN</x:v>
      </x:c>
      <x:c r="J55" s="136" t="str">
        <x:v>V0.7-CONTROLLED-RESEARCH-SCREEN-NOT-DISTRIBUTION</x:v>
      </x:c>
    </x:row>
    <x:row r="56" ht="22" customHeight="1">
      <x:c r="A56" s="137" t="str">
        <x:v>SCR-0051</x:v>
      </x:c>
      <x:c r="B56" s="142" t="n">
        <x:v>1.4871794871794872e-7</x:v>
      </x:c>
      <x:c r="C56" s="142" t="n">
        <x:v>0.005461538461538462</x:v>
      </x:c>
      <x:c r="D56" s="160" t="n">
        <x:v>194</x:v>
      </x:c>
      <x:c r="E56" s="162" t="n">
        <x:v>105390.55766343708</x:v>
      </x:c>
      <x:c r="F56" s="162" t="n">
        <x:v>105390</x:v>
      </x:c>
      <x:c r="G56" s="144" t="n">
        <x:v>0.011437992359883145</x:v>
      </x:c>
      <x:c r="H56" s="144" t="n">
        <x:v>0.055302790462257154</x:v>
      </x:c>
      <x:c r="I56" s="137" t="str">
        <x:v>POSITIVE-MODEL-MARGIN</x:v>
      </x:c>
      <x:c r="J56" s="137" t="str">
        <x:v>V0.7-CONTROLLED-RESEARCH-SCREEN-NOT-DISTRIBUTION</x:v>
      </x:c>
    </x:row>
    <x:row r="57" ht="22" customHeight="1">
      <x:c r="A57" s="136" t="str">
        <x:v>SCR-0052</x:v>
      </x:c>
      <x:c r="B57" s="143" t="n">
        <x:v>1.4871794871794872e-7</x:v>
      </x:c>
      <x:c r="C57" s="143" t="n">
        <x:v>0.0057692307692307696</x:v>
      </x:c>
      <x:c r="D57" s="161" t="n">
        <x:v>194</x:v>
      </x:c>
      <x:c r="E57" s="163" t="n">
        <x:v>102994.32891807084</x:v>
      </x:c>
      <x:c r="F57" s="163" t="n">
        <x:v>102994</x:v>
      </x:c>
      <x:c r="G57" s="145" t="n">
        <x:v>0.011741966635236053</x:v>
      </x:c>
      <x:c r="H57" s="145" t="n">
        <x:v>0.05656406659861253</x:v>
      </x:c>
      <x:c r="I57" s="136" t="str">
        <x:v>POSITIVE-MODEL-MARGIN</x:v>
      </x:c>
      <x:c r="J57" s="136" t="str">
        <x:v>V0.7-CONTROLLED-RESEARCH-SCREEN-NOT-DISTRIBUTION</x:v>
      </x:c>
    </x:row>
    <x:row r="58" ht="22" customHeight="1">
      <x:c r="A58" s="137" t="str">
        <x:v>SCR-0053</x:v>
      </x:c>
      <x:c r="B58" s="142" t="n">
        <x:v>1.4871794871794872e-7</x:v>
      </x:c>
      <x:c r="C58" s="142" t="n">
        <x:v>0.006076923076923077</x:v>
      </x:c>
      <x:c r="D58" s="160" t="n">
        <x:v>194</x:v>
      </x:c>
      <x:c r="E58" s="162" t="n">
        <x:v>100621.98947277428</x:v>
      </x:c>
      <x:c r="F58" s="162" t="n">
        <x:v>100621</x:v>
      </x:c>
      <x:c r="G58" s="144" t="n">
        <x:v>0.012045940910588955</x:v>
      </x:c>
      <x:c r="H58" s="144" t="n">
        <x:v>0.05782265043319567</x:v>
      </x:c>
      <x:c r="I58" s="137" t="str">
        <x:v>POSITIVE-MODEL-MARGIN</x:v>
      </x:c>
      <x:c r="J58" s="137" t="str">
        <x:v>V0.7-CONTROLLED-RESEARCH-SCREEN-NOT-DISTRIBUTION</x:v>
      </x:c>
    </x:row>
    <x:row r="59" ht="22" customHeight="1">
      <x:c r="A59" s="136" t="str">
        <x:v>SCR-0054</x:v>
      </x:c>
      <x:c r="B59" s="143" t="n">
        <x:v>1.4871794871794872e-7</x:v>
      </x:c>
      <x:c r="C59" s="143" t="n">
        <x:v>0.006384615384615384</x:v>
      </x:c>
      <x:c r="D59" s="161" t="n">
        <x:v>194</x:v>
      </x:c>
      <x:c r="E59" s="163" t="n">
        <x:v>98268.55583695</x:v>
      </x:c>
      <x:c r="F59" s="163" t="n">
        <x:v>98268</x:v>
      </x:c>
      <x:c r="G59" s="145" t="n">
        <x:v>0.01234991518594186</x:v>
      </x:c>
      <x:c r="H59" s="145" t="n">
        <x:v>0.05907863989769192</x:v>
      </x:c>
      <x:c r="I59" s="136" t="str">
        <x:v>POSITIVE-MODEL-MARGIN</x:v>
      </x:c>
      <x:c r="J59" s="136" t="str">
        <x:v>V0.7-CONTROLLED-RESEARCH-SCREEN-NOT-DISTRIBUTION</x:v>
      </x:c>
    </x:row>
    <x:row r="60" ht="22" customHeight="1">
      <x:c r="A60" s="137" t="str">
        <x:v>SCR-0055</x:v>
      </x:c>
      <x:c r="B60" s="142" t="n">
        <x:v>1.4871794871794872e-7</x:v>
      </x:c>
      <x:c r="C60" s="142" t="n">
        <x:v>0.006692307692307693</x:v>
      </x:c>
      <x:c r="D60" s="160" t="n">
        <x:v>194</x:v>
      </x:c>
      <x:c r="E60" s="162" t="n">
        <x:v>95933.53154074178</x:v>
      </x:c>
      <x:c r="F60" s="162" t="n">
        <x:v>95933</x:v>
      </x:c>
      <x:c r="G60" s="144" t="n">
        <x:v>0.012653889461294768</x:v>
      </x:c>
      <x:c r="H60" s="144" t="n">
        <x:v>0.0603321269456317</x:v>
      </x:c>
      <x:c r="I60" s="137" t="str">
        <x:v>POSITIVE-MODEL-MARGIN</x:v>
      </x:c>
      <x:c r="J60" s="137" t="str">
        <x:v>V0.7-CONTROLLED-RESEARCH-SCREEN-NOT-DISTRIBUTION</x:v>
      </x:c>
    </x:row>
    <x:row r="61" ht="22" customHeight="1">
      <x:c r="A61" s="136" t="str">
        <x:v>SCR-0056</x:v>
      </x:c>
      <x:c r="B61" s="143" t="n">
        <x:v>1.4871794871794872e-7</x:v>
      </x:c>
      <x:c r="C61" s="143" t="n">
        <x:v>0.007</x:v>
      </x:c>
      <x:c r="D61" s="161" t="n">
        <x:v>191</x:v>
      </x:c>
      <x:c r="E61" s="163" t="n">
        <x:v>93621.16959355399</x:v>
      </x:c>
      <x:c r="F61" s="163" t="n">
        <x:v>93621</x:v>
      </x:c>
      <x:c r="G61" s="145" t="n">
        <x:v>0.01289461873094917</x:v>
      </x:c>
      <x:c r="H61" s="145" t="n">
        <x:v>0.061385811490622444</x:v>
      </x:c>
      <x:c r="I61" s="136" t="str">
        <x:v>POSITIVE-MODEL-MARGIN</x:v>
      </x:c>
      <x:c r="J61" s="136" t="str">
        <x:v>V0.7-CONTROLLED-RESEARCH-SCREEN-NOT-DISTRIBUTION</x:v>
      </x:c>
    </x:row>
    <x:row r="62" ht="22" customHeight="1">
      <x:c r="A62" s="137" t="str">
        <x:v>SCR-0057</x:v>
      </x:c>
      <x:c r="B62" s="142" t="n">
        <x:v>1.4871794871794872e-7</x:v>
      </x:c>
      <x:c r="C62" s="142" t="n">
        <x:v>0.007307692307692308</x:v>
      </x:c>
      <x:c r="D62" s="160" t="n">
        <x:v>190</x:v>
      </x:c>
      <x:c r="E62" s="162" t="n">
        <x:v>91324.66953352206</x:v>
      </x:c>
      <x:c r="F62" s="162" t="n">
        <x:v>91324</x:v>
      </x:c>
      <x:c r="G62" s="144" t="n">
        <x:v>0.013177583639926225</x:v>
      </x:c>
      <x:c r="H62" s="144" t="n">
        <x:v>0.062571630495216</x:v>
      </x:c>
      <x:c r="I62" s="137" t="str">
        <x:v>POSITIVE-MODEL-MARGIN</x:v>
      </x:c>
      <x:c r="J62" s="137" t="str">
        <x:v>V0.7-CONTROLLED-RESEARCH-SCREEN-NOT-DISTRIBUTION</x:v>
      </x:c>
    </x:row>
    <x:row r="63" ht="22" customHeight="1">
      <x:c r="A63" s="136" t="str">
        <x:v>SCR-0058</x:v>
      </x:c>
      <x:c r="B63" s="143" t="n">
        <x:v>1.4871794871794872e-7</x:v>
      </x:c>
      <x:c r="C63" s="143" t="n">
        <x:v>0.007615384615384616</x:v>
      </x:c>
      <x:c r="D63" s="161" t="n">
        <x:v>190</x:v>
      </x:c>
      <x:c r="E63" s="163" t="n">
        <x:v>89048.66142676423</x:v>
      </x:c>
      <x:c r="F63" s="163" t="n">
        <x:v>89048</x:v>
      </x:c>
      <x:c r="G63" s="145" t="n">
        <x:v>0.01348161053316985</x:v>
      </x:c>
      <x:c r="H63" s="145" t="n">
        <x:v>0.06382026017979193</x:v>
      </x:c>
      <x:c r="I63" s="136" t="str">
        <x:v>POSITIVE-MODEL-MARGIN</x:v>
      </x:c>
      <x:c r="J63" s="136" t="str">
        <x:v>V0.7-CONTROLLED-RESEARCH-SCREEN-NOT-DISTRIBUTION</x:v>
      </x:c>
    </x:row>
    <x:row r="64" ht="22" customHeight="1">
      <x:c r="A64" s="137" t="str">
        <x:v>SCR-0059</x:v>
      </x:c>
      <x:c r="B64" s="142" t="n">
        <x:v>1.4871794871794872e-7</x:v>
      </x:c>
      <x:c r="C64" s="142" t="n">
        <x:v>0.007923076923076923</x:v>
      </x:c>
      <x:c r="D64" s="160" t="n">
        <x:v>188</x:v>
      </x:c>
      <x:c r="E64" s="162" t="n">
        <x:v>86791.70506968658</x:v>
      </x:c>
      <x:c r="F64" s="162" t="n">
        <x:v>86791</x:v>
      </x:c>
      <x:c r="G64" s="144" t="n">
        <x:v>0.013743617459391453</x:v>
      </x:c>
      <x:c r="H64" s="144" t="n">
        <x:v>0.0649408646439787</x:v>
      </x:c>
      <x:c r="I64" s="137" t="str">
        <x:v>POSITIVE-MODEL-MARGIN</x:v>
      </x:c>
      <x:c r="J64" s="137" t="str">
        <x:v>V0.7-CONTROLLED-RESEARCH-SCREEN-NOT-DISTRIBUTION</x:v>
      </x:c>
    </x:row>
    <x:row r="65" ht="22" customHeight="1">
      <x:c r="A65" s="136" t="str">
        <x:v>SCR-0060</x:v>
      </x:c>
      <x:c r="B65" s="143" t="n">
        <x:v>1.4871794871794872e-7</x:v>
      </x:c>
      <x:c r="C65" s="143" t="n">
        <x:v>0.00823076923076923</x:v>
      </x:c>
      <x:c r="D65" s="161" t="n">
        <x:v>188</x:v>
      </x:c>
      <x:c r="E65" s="163" t="n">
        <x:v>84554.21687907338</x:v>
      </x:c>
      <x:c r="F65" s="163" t="n">
        <x:v>84554</x:v>
      </x:c>
      <x:c r="G65" s="145" t="n">
        <x:v>0.014047670627438719</x:v>
      </x:c>
      <x:c r="H65" s="145" t="n">
        <x:v>0.06618622672925817</x:v>
      </x:c>
      <x:c r="I65" s="136" t="str">
        <x:v>POSITIVE-MODEL-MARGIN</x:v>
      </x:c>
      <x:c r="J65" s="136" t="str">
        <x:v>V0.7-CONTROLLED-RESEARCH-SCREEN-NOT-DISTRIBUTION</x:v>
      </x:c>
    </x:row>
    <x:row r="66" ht="22" customHeight="1">
      <x:c r="A66" s="137" t="str">
        <x:v>SCR-0061</x:v>
      </x:c>
      <x:c r="B66" s="142" t="n">
        <x:v>1.4871794871794872e-7</x:v>
      </x:c>
      <x:c r="C66" s="142" t="n">
        <x:v>0.00853846153846154</x:v>
      </x:c>
      <x:c r="D66" s="160" t="n">
        <x:v>187</x:v>
      </x:c>
      <x:c r="E66" s="162" t="n">
        <x:v>82329.43848897608</x:v>
      </x:c>
      <x:c r="F66" s="162" t="n">
        <x:v>82329</x:v>
      </x:c>
      <x:c r="G66" s="144" t="n">
        <x:v>0.014330751179407065</x:v>
      </x:c>
      <x:c r="H66" s="144" t="n">
        <x:v>0.06736823885953767</x:v>
      </x:c>
      <x:c r="I66" s="137" t="str">
        <x:v>POSITIVE-MODEL-MARGIN</x:v>
      </x:c>
      <x:c r="J66" s="137" t="str">
        <x:v>V0.7-CONTROLLED-RESEARCH-SCREEN-NOT-DISTRIBUTION</x:v>
      </x:c>
    </x:row>
    <x:row r="67" ht="22" customHeight="1">
      <x:c r="A67" s="136" t="str">
        <x:v>SCR-0062</x:v>
      </x:c>
      <x:c r="B67" s="143" t="n">
        <x:v>1.4871794871794872e-7</x:v>
      </x:c>
      <x:c r="C67" s="143" t="n">
        <x:v>0.008846153846153847</x:v>
      </x:c>
      <x:c r="D67" s="161" t="n">
        <x:v>188</x:v>
      </x:c>
      <x:c r="E67" s="163" t="n">
        <x:v>80126.68375370266</x:v>
      </x:c>
      <x:c r="F67" s="163" t="n">
        <x:v>80126</x:v>
      </x:c>
      <x:c r="G67" s="145" t="n">
        <x:v>0.014655776963533254</x:v>
      </x:c>
      <x:c r="H67" s="145" t="n">
        <x:v>0.0686707441805202</x:v>
      </x:c>
      <x:c r="I67" s="136" t="str">
        <x:v>POSITIVE-MODEL-MARGIN</x:v>
      </x:c>
      <x:c r="J67" s="136" t="str">
        <x:v>V0.7-CONTROLLED-RESEARCH-SCREEN-NOT-DISTRIBUTION</x:v>
      </x:c>
    </x:row>
    <x:row r="68" ht="22" customHeight="1">
      <x:c r="A68" s="137" t="str">
        <x:v>SCR-0063</x:v>
      </x:c>
      <x:c r="B68" s="142" t="n">
        <x:v>1.4871794871794872e-7</x:v>
      </x:c>
      <x:c r="C68" s="142" t="n">
        <x:v>0.009153846153846155</x:v>
      </x:c>
      <x:c r="D68" s="160" t="n">
        <x:v>184</x:v>
      </x:c>
      <x:c r="E68" s="162" t="n">
        <x:v>77939.8954602949</x:v>
      </x:c>
      <x:c r="F68" s="162" t="n">
        <x:v>77939</x:v>
      </x:c>
      <x:c r="G68" s="144" t="n">
        <x:v>0.014876080224160003</x:v>
      </x:c>
      <x:c r="H68" s="144" t="n">
        <x:v>0.06967160754711073</x:v>
      </x:c>
      <x:c r="I68" s="137" t="str">
        <x:v>POSITIVE-MODEL-MARGIN</x:v>
      </x:c>
      <x:c r="J68" s="137" t="str">
        <x:v>V0.7-CONTROLLED-RESEARCH-SCREEN-NOT-DISTRIBUTION</x:v>
      </x:c>
    </x:row>
    <x:row r="69" ht="22" customHeight="1">
      <x:c r="A69" s="136" t="str">
        <x:v>SCR-0064</x:v>
      </x:c>
      <x:c r="B69" s="143" t="n">
        <x:v>1.4871794871794872e-7</x:v>
      </x:c>
      <x:c r="C69" s="143" t="n">
        <x:v>0.009461538461538462</x:v>
      </x:c>
      <x:c r="D69" s="161" t="n">
        <x:v>184</x:v>
      </x:c>
      <x:c r="E69" s="163" t="n">
        <x:v>75771.18479236323</x:v>
      </x:c>
      <x:c r="F69" s="163" t="n">
        <x:v>75771</x:v>
      </x:c>
      <x:c r="G69" s="145" t="n">
        <x:v>0.01518018589177336</x:v>
      </x:c>
      <x:c r="H69" s="145" t="n">
        <x:v>0.07091113798436954</x:v>
      </x:c>
      <x:c r="I69" s="136" t="str">
        <x:v>POSITIVE-MODEL-MARGIN</x:v>
      </x:c>
      <x:c r="J69" s="136" t="str">
        <x:v>V0.7-CONTROLLED-RESEARCH-SCREEN-NOT-DISTRIBUTION</x:v>
      </x:c>
    </x:row>
    <x:row r="70" ht="22" customHeight="1">
      <x:c r="A70" s="137" t="str">
        <x:v>SCR-0065</x:v>
      </x:c>
      <x:c r="B70" s="142" t="n">
        <x:v>1.4871794871794872e-7</x:v>
      </x:c>
      <x:c r="C70" s="142" t="n">
        <x:v>0.00976923076923077</x:v>
      </x:c>
      <x:c r="D70" s="160" t="n">
        <x:v>183</x:v>
      </x:c>
      <x:c r="E70" s="162" t="n">
        <x:v>73617.29368180098</x:v>
      </x:c>
      <x:c r="F70" s="162" t="n">
        <x:v>73617</x:v>
      </x:c>
      <x:c r="G70" s="144" t="n">
        <x:v>0.01546339264782851</x:v>
      </x:c>
      <x:c r="H70" s="144" t="n">
        <x:v>0.07209125390037341</x:v>
      </x:c>
      <x:c r="I70" s="137" t="str">
        <x:v>POSITIVE-MODEL-MARGIN</x:v>
      </x:c>
      <x:c r="J70" s="137" t="str">
        <x:v>V0.7-CONTROLLED-RESEARCH-SCREEN-NOT-DISTRIBUTION</x:v>
      </x:c>
    </x:row>
    <x:row r="71" ht="22" customHeight="1">
      <x:c r="A71" s="136" t="str">
        <x:v>SCR-0066</x:v>
      </x:c>
      <x:c r="B71" s="143" t="n">
        <x:v>1.4871794871794872e-7</x:v>
      </x:c>
      <x:c r="C71" s="143" t="n">
        <x:v>0.010076923076923077</x:v>
      </x:c>
      <x:c r="D71" s="161" t="n">
        <x:v>182</x:v>
      </x:c>
      <x:c r="E71" s="163" t="n">
        <x:v>71479.9611716491</x:v>
      </x:c>
      <x:c r="F71" s="163" t="n">
        <x:v>71479</x:v>
      </x:c>
      <x:c r="G71" s="145" t="n">
        <x:v>0.015746660658356112</x:v>
      </x:c>
      <x:c r="H71" s="145" t="n">
        <x:v>0.07327137113254485</x:v>
      </x:c>
      <x:c r="I71" s="136" t="str">
        <x:v>POSITIVE-MODEL-MARGIN</x:v>
      </x:c>
      <x:c r="J71" s="136" t="str">
        <x:v>V0.7-CONTROLLED-RESEARCH-SCREEN-NOT-DISTRIBUTION</x:v>
      </x:c>
    </x:row>
    <x:row r="72" ht="22" customHeight="1">
      <x:c r="A72" s="137" t="str">
        <x:v>SCR-0067</x:v>
      </x:c>
      <x:c r="B72" s="142" t="n">
        <x:v>1.4871794871794872e-7</x:v>
      </x:c>
      <x:c r="C72" s="142" t="n">
        <x:v>0.010384615384615384</x:v>
      </x:c>
      <x:c r="D72" s="160" t="n">
        <x:v>182</x:v>
      </x:c>
      <x:c r="E72" s="162" t="n">
        <x:v>69359.96980663361</x:v>
      </x:c>
      <x:c r="F72" s="162" t="n">
        <x:v>69359</x:v>
      </x:c>
      <x:c r="G72" s="144" t="n">
        <x:v>0.016050792538298764</x:v>
      </x:c>
      <x:c r="H72" s="144" t="n">
        <x:v>0.07450651571787899</x:v>
      </x:c>
      <x:c r="I72" s="137" t="str">
        <x:v>POSITIVE-MODEL-MARGIN</x:v>
      </x:c>
      <x:c r="J72" s="137" t="str">
        <x:v>V0.7-CONTROLLED-RESEARCH-SCREEN-NOT-DISTRIBUTION</x:v>
      </x:c>
    </x:row>
    <x:row r="73" ht="22" customHeight="1">
      <x:c r="A73" s="136" t="str">
        <x:v>SCR-0068</x:v>
      </x:c>
      <x:c r="B73" s="143" t="n">
        <x:v>1.4871794871794872e-7</x:v>
      </x:c>
      <x:c r="C73" s="143" t="n">
        <x:v>0.010692307692307692</x:v>
      </x:c>
      <x:c r="D73" s="161" t="n">
        <x:v>181</x:v>
      </x:c>
      <x:c r="E73" s="163" t="n">
        <x:v>67256.14856906915</x:v>
      </x:c>
      <x:c r="F73" s="163" t="n">
        <x:v>67256</x:v>
      </x:c>
      <x:c r="G73" s="145" t="n">
        <x:v>0.01633410235494244</x:v>
      </x:c>
      <x:c r="H73" s="145" t="n">
        <x:v>0.0756851745682561</x:v>
      </x:c>
      <x:c r="I73" s="136" t="str">
        <x:v>POSITIVE-MODEL-MARGIN</x:v>
      </x:c>
      <x:c r="J73" s="136" t="str">
        <x:v>V0.7-CONTROLLED-RESEARCH-SCREEN-NOT-DISTRIBUTION</x:v>
      </x:c>
    </x:row>
    <x:row r="74" ht="22" customHeight="1">
      <x:c r="A74" s="137" t="str">
        <x:v>SCR-0069</x:v>
      </x:c>
      <x:c r="B74" s="142" t="n">
        <x:v>1.4871794871794872e-7</x:v>
      </x:c>
      <x:c r="C74" s="142" t="n">
        <x:v>0.011</x:v>
      </x:c>
      <x:c r="D74" s="160" t="n">
        <x:v>179</x:v>
      </x:c>
      <x:c r="E74" s="162" t="n">
        <x:v>65169.78090618445</x:v>
      </x:c>
      <x:c r="F74" s="162" t="n">
        <x:v>65169</x:v>
      </x:c>
      <x:c r="G74" s="144" t="n">
        <x:v>0.016596665213934204</x:v>
      </x:c>
      <x:c r="H74" s="144" t="n">
        <x:v>0.07681062936897909</x:v>
      </x:c>
      <x:c r="I74" s="137" t="str">
        <x:v>POSITIVE-MODEL-MARGIN</x:v>
      </x:c>
      <x:c r="J74" s="137" t="str">
        <x:v>V0.7-CONTROLLED-RESEARCH-SCREEN-NOT-DISTRIBUTION</x:v>
      </x:c>
    </x:row>
    <x:row r="75" ht="22" customHeight="1">
      <x:c r="A75" s="136" t="str">
        <x:v>SCR-0070</x:v>
      </x:c>
      <x:c r="B75" s="143" t="n">
        <x:v>1.4871794871794872e-7</x:v>
      </x:c>
      <x:c r="C75" s="143" t="n">
        <x:v>0.011307692307692307</x:v>
      </x:c>
      <x:c r="D75" s="161" t="n">
        <x:v>179</x:v>
      </x:c>
      <x:c r="E75" s="163" t="n">
        <x:v>63096.93752813839</x:v>
      </x:c>
      <x:c r="F75" s="163" t="n">
        <x:v>63096</x:v>
      </x:c>
      <x:c r="G75" s="145" t="n">
        <x:v>0.01690083635208244</x:v>
      </x:c>
      <x:c r="H75" s="145" t="n">
        <x:v>0.07804234941124805</x:v>
      </x:c>
      <x:c r="I75" s="136" t="str">
        <x:v>POSITIVE-MODEL-MARGIN</x:v>
      </x:c>
      <x:c r="J75" s="136" t="str">
        <x:v>V0.7-CONTROLLED-RESEARCH-SCREEN-NOT-DISTRIBUTION</x:v>
      </x:c>
    </x:row>
    <x:row r="76" ht="22" customHeight="1">
      <x:c r="A76" s="137" t="str">
        <x:v>SCR-0071</x:v>
      </x:c>
      <x:c r="B76" s="142" t="n">
        <x:v>1.4871794871794872e-7</x:v>
      </x:c>
      <x:c r="C76" s="142" t="n">
        <x:v>0.011615384615384614</x:v>
      </x:c>
      <x:c r="D76" s="160" t="n">
        <x:v>178</x:v>
      </x:c>
      <x:c r="E76" s="162" t="n">
        <x:v>61037.10633636894</x:v>
      </x:c>
      <x:c r="F76" s="162" t="n">
        <x:v>61037</x:v>
      </x:c>
      <x:c r="G76" s="144" t="n">
        <x:v>0.01718425881099122</x:v>
      </x:c>
      <x:c r="H76" s="144" t="n">
        <x:v>0.07922096734155945</x:v>
      </x:c>
      <x:c r="I76" s="137" t="str">
        <x:v>POSITIVE-MODEL-MARGIN</x:v>
      </x:c>
      <x:c r="J76" s="137" t="str">
        <x:v>V0.7-CONTROLLED-RESEARCH-SCREEN-NOT-DISTRIBUTION</x:v>
      </x:c>
    </x:row>
    <x:row r="77" ht="22" customHeight="1">
      <x:c r="A77" s="136" t="str">
        <x:v>SCR-0072</x:v>
      </x:c>
      <x:c r="B77" s="143" t="n">
        <x:v>1.4871794871794872e-7</x:v>
      </x:c>
      <x:c r="C77" s="143" t="n">
        <x:v>0.011923076923076925</x:v>
      </x:c>
      <x:c r="D77" s="161" t="n">
        <x:v>175</x:v>
      </x:c>
      <x:c r="E77" s="163" t="n">
        <x:v>58996.093276789405</x:v>
      </x:c>
      <x:c r="F77" s="163" t="n">
        <x:v>58996</x:v>
      </x:c>
      <x:c r="G77" s="145" t="n">
        <x:v>0.017426290872547646</x:v>
      </x:c>
      <x:c r="H77" s="145" t="n">
        <x:v>0.08030057094293439</x:v>
      </x:c>
      <x:c r="I77" s="136" t="str">
        <x:v>POSITIVE-MODEL-MARGIN</x:v>
      </x:c>
      <x:c r="J77" s="136" t="str">
        <x:v>V0.7-CONTROLLED-RESEARCH-SCREEN-NOT-DISTRIBUTION</x:v>
      </x:c>
    </x:row>
    <x:row r="78" ht="22" customHeight="1">
      <x:c r="A78" s="137" t="str">
        <x:v>SCR-0073</x:v>
      </x:c>
      <x:c r="B78" s="142" t="n">
        <x:v>1.4871794871794872e-7</x:v>
      </x:c>
      <x:c r="C78" s="142" t="n">
        <x:v>0.012230769230769233</x:v>
      </x:c>
      <x:c r="D78" s="160" t="n">
        <x:v>175</x:v>
      </x:c>
      <x:c r="E78" s="162" t="n">
        <x:v>56973.359128716744</x:v>
      </x:c>
      <x:c r="F78" s="162" t="n">
        <x:v>56973</x:v>
      </x:c>
      <x:c r="G78" s="144" t="n">
        <x:v>0.017730514264616193</x:v>
      </x:c>
      <x:c r="H78" s="144" t="n">
        <x:v>0.0815298112314686</x:v>
      </x:c>
      <x:c r="I78" s="137" t="str">
        <x:v>POSITIVE-MODEL-MARGIN</x:v>
      </x:c>
      <x:c r="J78" s="137" t="str">
        <x:v>V0.7-CONTROLLED-RESEARCH-SCREEN-NOT-DISTRIBUTION</x:v>
      </x:c>
    </x:row>
    <x:row r="79" ht="22" customHeight="1">
      <x:c r="A79" s="136" t="str">
        <x:v>SCR-0074</x:v>
      </x:c>
      <x:c r="B79" s="143" t="n">
        <x:v>1.4871794871794872e-7</x:v>
      </x:c>
      <x:c r="C79" s="143" t="n">
        <x:v>0.01253846153846154</x:v>
      </x:c>
      <x:c r="D79" s="161" t="n">
        <x:v>173</x:v>
      </x:c>
      <x:c r="E79" s="163" t="n">
        <x:v>54959.74845184295</x:v>
      </x:c>
      <x:c r="F79" s="163" t="n">
        <x:v>54959</x:v>
      </x:c>
      <x:c r="G79" s="145" t="n">
        <x:v>0.017993422817012047</x:v>
      </x:c>
      <x:c r="H79" s="145" t="n">
        <x:v>0.08266332335168464</x:v>
      </x:c>
      <x:c r="I79" s="136" t="str">
        <x:v>POSITIVE-MODEL-MARGIN</x:v>
      </x:c>
      <x:c r="J79" s="136" t="str">
        <x:v>V0.7-CONTROLLED-RESEARCH-SCREEN-NOT-DISTRIBUTION</x:v>
      </x:c>
    </x:row>
    <x:row r="80" ht="22" customHeight="1">
      <x:c r="A80" s="137" t="str">
        <x:v>SCR-0075</x:v>
      </x:c>
      <x:c r="B80" s="142" t="n">
        <x:v>1.4871794871794872e-7</x:v>
      </x:c>
      <x:c r="C80" s="142" t="n">
        <x:v>0.012846153846153847</x:v>
      </x:c>
      <x:c r="D80" s="160" t="n">
        <x:v>173</x:v>
      </x:c>
      <x:c r="E80" s="162" t="n">
        <x:v>52963.39132177224</x:v>
      </x:c>
      <x:c r="F80" s="162" t="n">
        <x:v>52963</x:v>
      </x:c>
      <x:c r="G80" s="144" t="n">
        <x:v>0.01829767228757343</x:v>
      </x:c>
      <x:c r="H80" s="144" t="n">
        <x:v>0.08389072299768906</x:v>
      </x:c>
      <x:c r="I80" s="137" t="str">
        <x:v>POSITIVE-MODEL-MARGIN</x:v>
      </x:c>
      <x:c r="J80" s="137" t="str">
        <x:v>V0.7-CONTROLLED-RESEARCH-SCREEN-NOT-DISTRIBUTION</x:v>
      </x:c>
    </x:row>
    <x:row r="81" ht="22" customHeight="1">
      <x:c r="A81" s="136" t="str">
        <x:v>SCR-0076</x:v>
      </x:c>
      <x:c r="B81" s="143" t="n">
        <x:v>1.4871794871794872e-7</x:v>
      </x:c>
      <x:c r="C81" s="143" t="n">
        <x:v>0.013153846153846155</x:v>
      </x:c>
      <x:c r="D81" s="161" t="n">
        <x:v>170</x:v>
      </x:c>
      <x:c r="E81" s="163" t="n">
        <x:v>50980.93350206194</x:v>
      </x:c>
      <x:c r="F81" s="163" t="n">
        <x:v>50980</x:v>
      </x:c>
      <x:c r="G81" s="145" t="n">
        <x:v>0.018540110947347987</x:v>
      </x:c>
      <x:c r="H81" s="145" t="n">
        <x:v>0.0849837077088823</x:v>
      </x:c>
      <x:c r="I81" s="136" t="str">
        <x:v>POSITIVE-MODEL-MARGIN</x:v>
      </x:c>
      <x:c r="J81" s="136" t="str">
        <x:v>V0.7-CONTROLLED-RESEARCH-SCREEN-NOT-DISTRIBUTION</x:v>
      </x:c>
    </x:row>
    <x:row r="82" ht="22" customHeight="1">
      <x:c r="A82" s="137" t="str">
        <x:v>SCR-0077</x:v>
      </x:c>
      <x:c r="B82" s="142" t="n">
        <x:v>1.4871794871794872e-7</x:v>
      </x:c>
      <x:c r="C82" s="142" t="n">
        <x:v>0.013461538461538462</x:v>
      </x:c>
      <x:c r="D82" s="160" t="n">
        <x:v>170</x:v>
      </x:c>
      <x:c r="E82" s="162" t="n">
        <x:v>49011.33880904479</x:v>
      </x:c>
      <x:c r="F82" s="162" t="n">
        <x:v>49011</x:v>
      </x:c>
      <x:c r="G82" s="144" t="n">
        <x:v>0.018844399483056905</x:v>
      </x:c>
      <x:c r="H82" s="144" t="n">
        <x:v>0.08621001207410868</x:v>
      </x:c>
      <x:c r="I82" s="137" t="str">
        <x:v>POSITIVE-MODEL-MARGIN</x:v>
      </x:c>
      <x:c r="J82" s="137" t="str">
        <x:v>V0.7-CONTROLLED-RESEARCH-SCREEN-NOT-DISTRIBUTION</x:v>
      </x:c>
    </x:row>
    <x:row r="83" ht="22" customHeight="1">
      <x:c r="A83" s="136" t="str">
        <x:v>SCR-0078</x:v>
      </x:c>
      <x:c r="B83" s="143" t="n">
        <x:v>1.4871794871794872e-7</x:v>
      </x:c>
      <x:c r="C83" s="143" t="n">
        <x:v>0.01376923076923077</x:v>
      </x:c>
      <x:c r="D83" s="161" t="n">
        <x:v>168</x:v>
      </x:c>
      <x:c r="E83" s="163" t="n">
        <x:v>47058.01948750526</x:v>
      </x:c>
      <x:c r="F83" s="163" t="n">
        <x:v>47058</x:v>
      </x:c>
      <x:c r="G83" s="145" t="n">
        <x:v>0.01910762797650574</x:v>
      </x:c>
      <x:c r="H83" s="145" t="n">
        <x:v>0.08735259494956457</x:v>
      </x:c>
      <x:c r="I83" s="136" t="str">
        <x:v>POSITIVE-MODEL-MARGIN</x:v>
      </x:c>
      <x:c r="J83" s="136" t="str">
        <x:v>V0.7-CONTROLLED-RESEARCH-SCREEN-NOT-DISTRIBUTION</x:v>
      </x:c>
    </x:row>
    <x:row r="84" ht="22" customHeight="1">
      <x:c r="A84" s="137" t="str">
        <x:v>SCR-0079</x:v>
      </x:c>
      <x:c r="B84" s="142" t="n">
        <x:v>1.4871794871794872e-7</x:v>
      </x:c>
      <x:c r="C84" s="142" t="n">
        <x:v>0.014076923076923077</x:v>
      </x:c>
      <x:c r="D84" s="160" t="n">
        <x:v>167</x:v>
      </x:c>
      <x:c r="E84" s="162" t="n">
        <x:v>45118.67333779991</x:v>
      </x:c>
      <x:c r="F84" s="162" t="n">
        <x:v>45118</x:v>
      </x:c>
      <x:c r="G84" s="144" t="n">
        <x:v>0.019391426832712232</x:v>
      </x:c>
      <x:c r="H84" s="144" t="n">
        <x:v>0.08853770177431027</x:v>
      </x:c>
      <x:c r="I84" s="137" t="str">
        <x:v>POSITIVE-MODEL-MARGIN</x:v>
      </x:c>
      <x:c r="J84" s="137" t="str">
        <x:v>V0.7-CONTROLLED-RESEARCH-SCREEN-NOT-DISTRIBUTION</x:v>
      </x:c>
    </x:row>
    <x:row r="85" ht="22" customHeight="1">
      <x:c r="A85" s="136" t="str">
        <x:v>SCR-0080</x:v>
      </x:c>
      <x:c r="B85" s="143" t="n">
        <x:v>1.4871794871794872e-7</x:v>
      </x:c>
      <x:c r="C85" s="143" t="n">
        <x:v>0.014384615384615385</x:v>
      </x:c>
      <x:c r="D85" s="161" t="n">
        <x:v>166</x:v>
      </x:c>
      <x:c r="E85" s="163" t="n">
        <x:v>43197.50601330594</x:v>
      </x:c>
      <x:c r="F85" s="163" t="n">
        <x:v>43197</x:v>
      </x:c>
      <x:c r="G85" s="145" t="n">
        <x:v>0.019675271426679963</x:v>
      </x:c>
      <x:c r="H85" s="145" t="n">
        <x:v>0.08972355923588533</x:v>
      </x:c>
      <x:c r="I85" s="136" t="str">
        <x:v>POSITIVE-MODEL-MARGIN</x:v>
      </x:c>
      <x:c r="J85" s="136" t="str">
        <x:v>V0.7-CONTROLLED-RESEARCH-SCREEN-NOT-DISTRIBUTION</x:v>
      </x:c>
    </x:row>
    <x:row r="86" ht="22" customHeight="1">
      <x:c r="A86" s="137" t="str">
        <x:v>SCR-0081</x:v>
      </x:c>
      <x:c r="B86" s="142" t="n">
        <x:v>1.4871794871794872e-7</x:v>
      </x:c>
      <x:c r="C86" s="142" t="n">
        <x:v>0.014692307692307692</x:v>
      </x:c>
      <x:c r="D86" s="160" t="n">
        <x:v>166</x:v>
      </x:c>
      <x:c r="E86" s="162" t="n">
        <x:v>41285.13378559476</x:v>
      </x:c>
      <x:c r="F86" s="162" t="n">
        <x:v>41285</x:v>
      </x:c>
      <x:c r="G86" s="144" t="n">
        <x:v>0.0199796119146706</x:v>
      </x:c>
      <x:c r="H86" s="144" t="n">
        <x:v>0.09094688692598281</x:v>
      </x:c>
      <x:c r="I86" s="137" t="str">
        <x:v>POSITIVE-MODEL-MARGIN</x:v>
      </x:c>
      <x:c r="J86" s="137" t="str">
        <x:v>V0.7-CONTROLLED-RESEARCH-SCREEN-NOT-DISTRIBUTION</x:v>
      </x:c>
    </x:row>
    <x:row r="87" ht="22" customHeight="1">
      <x:c r="A87" s="136" t="str">
        <x:v>SCR-0082</x:v>
      </x:c>
      <x:c r="B87" s="143" t="n">
        <x:v>1.4871794871794872e-7</x:v>
      </x:c>
      <x:c r="C87" s="143" t="n">
        <x:v>0.015</x:v>
      </x:c>
      <x:c r="D87" s="161" t="n">
        <x:v>162</x:v>
      </x:c>
      <x:c r="E87" s="163" t="n">
        <x:v>39387.65698971383</x:v>
      </x:c>
      <x:c r="F87" s="163" t="n">
        <x:v>39387</x:v>
      </x:c>
      <x:c r="G87" s="145" t="n">
        <x:v>0.020202300783231226</x:v>
      </x:c>
      <x:c r="H87" s="145" t="n">
        <x:v>0.0920300584749943</x:v>
      </x:c>
      <x:c r="I87" s="136" t="str">
        <x:v>POSITIVE-MODEL-MARGIN</x:v>
      </x:c>
      <x:c r="J87" s="136" t="str">
        <x:v>V0.7-CONTROLLED-RESEARCH-SCREEN-NOT-DISTRIBUTION</x:v>
      </x:c>
    </x:row>
    <x:row r="88" ht="22" customHeight="1">
      <x:c r="A88" s="137" t="str">
        <x:v>SCR-0083</x:v>
      </x:c>
      <x:c r="B88" s="142" t="n">
        <x:v>1.9743589743589744e-7</x:v>
      </x:c>
      <x:c r="C88" s="142" t="n">
        <x:v>0.003</x:v>
      </x:c>
      <x:c r="D88" s="160" t="n">
        <x:v>175</x:v>
      </x:c>
      <x:c r="E88" s="162" t="n">
        <x:v>111076.10857083923</x:v>
      </x:c>
      <x:c r="F88" s="162" t="n">
        <x:v>111076</x:v>
      </x:c>
      <x:c r="G88" s="144" t="n">
        <x:v>0.010253966580231463</x:v>
      </x:c>
      <x:c r="H88" s="144" t="n">
        <x:v>0.05147172465138104</x:v>
      </x:c>
      <x:c r="I88" s="137" t="str">
        <x:v>POSITIVE-MODEL-MARGIN</x:v>
      </x:c>
      <x:c r="J88" s="137" t="str">
        <x:v>V0.7-CONTROLLED-RESEARCH-SCREEN-NOT-DISTRIBUTION</x:v>
      </x:c>
    </x:row>
    <x:row r="89" ht="22" customHeight="1">
      <x:c r="A89" s="136" t="str">
        <x:v>SCR-0084</x:v>
      </x:c>
      <x:c r="B89" s="143" t="n">
        <x:v>1.9743589743589744e-7</x:v>
      </x:c>
      <x:c r="C89" s="143" t="n">
        <x:v>0.003307692307692308</x:v>
      </x:c>
      <x:c r="D89" s="161" t="n">
        <x:v>175</x:v>
      </x:c>
      <x:c r="E89" s="163" t="n">
        <x:v>108653.26723631818</x:v>
      </x:c>
      <x:c r="F89" s="163" t="n">
        <x:v>108653</x:v>
      </x:c>
      <x:c r="G89" s="145" t="n">
        <x:v>0.010557168392629365</x:v>
      </x:c>
      <x:c r="H89" s="145" t="n">
        <x:v>0.052767306880893025</x:v>
      </x:c>
      <x:c r="I89" s="136" t="str">
        <x:v>POSITIVE-MODEL-MARGIN</x:v>
      </x:c>
      <x:c r="J89" s="136" t="str">
        <x:v>V0.7-CONTROLLED-RESEARCH-SCREEN-NOT-DISTRIBUTION</x:v>
      </x:c>
    </x:row>
    <x:row r="90" ht="22" customHeight="1">
      <x:c r="A90" s="137" t="str">
        <x:v>SCR-0085</x:v>
      </x:c>
      <x:c r="B90" s="142" t="n">
        <x:v>1.9743589743589744e-7</x:v>
      </x:c>
      <x:c r="C90" s="142" t="n">
        <x:v>0.0036153846153846154</x:v>
      </x:c>
      <x:c r="D90" s="160" t="n">
        <x:v>173</x:v>
      </x:c>
      <x:c r="E90" s="162" t="n">
        <x:v>106255.60186758883</x:v>
      </x:c>
      <x:c r="F90" s="162" t="n">
        <x:v>106255</x:v>
      </x:c>
      <x:c r="G90" s="144" t="n">
        <x:v>0.01080489011871901</x:v>
      </x:c>
      <x:c r="H90" s="144" t="n">
        <x:v>0.053872147527256053</x:v>
      </x:c>
      <x:c r="I90" s="137" t="str">
        <x:v>POSITIVE-MODEL-MARGIN</x:v>
      </x:c>
      <x:c r="J90" s="137" t="str">
        <x:v>V0.7-CONTROLLED-RESEARCH-SCREEN-NOT-DISTRIBUTION</x:v>
      </x:c>
    </x:row>
    <x:row r="91" ht="22" customHeight="1">
      <x:c r="A91" s="136" t="str">
        <x:v>SCR-0086</x:v>
      </x:c>
      <x:c r="B91" s="143" t="n">
        <x:v>1.9743589743589744e-7</x:v>
      </x:c>
      <x:c r="C91" s="143" t="n">
        <x:v>0.003923076923076923</x:v>
      </x:c>
      <x:c r="D91" s="161" t="n">
        <x:v>173</x:v>
      </x:c>
      <x:c r="E91" s="163" t="n">
        <x:v>103880.13456266421</x:v>
      </x:c>
      <x:c r="F91" s="163" t="n">
        <x:v>103880</x:v>
      </x:c>
      <x:c r="G91" s="145" t="n">
        <x:v>0.011108126321390186</x:v>
      </x:c>
      <x:c r="H91" s="145" t="n">
        <x:v>0.055163015157869255</x:v>
      </x:c>
      <x:c r="I91" s="136" t="str">
        <x:v>POSITIVE-MODEL-MARGIN</x:v>
      </x:c>
      <x:c r="J91" s="136" t="str">
        <x:v>V0.7-CONTROLLED-RESEARCH-SCREEN-NOT-DISTRIBUTION</x:v>
      </x:c>
    </x:row>
    <x:row r="92" ht="22" customHeight="1">
      <x:c r="A92" s="137" t="str">
        <x:v>SCR-0087</x:v>
      </x:c>
      <x:c r="B92" s="142" t="n">
        <x:v>1.9743589743589744e-7</x:v>
      </x:c>
      <x:c r="C92" s="142" t="n">
        <x:v>0.004230769230769231</x:v>
      </x:c>
      <x:c r="D92" s="160" t="n">
        <x:v>173</x:v>
      </x:c>
      <x:c r="E92" s="162" t="n">
        <x:v>101524.88863705486</x:v>
      </x:c>
      <x:c r="F92" s="162" t="n">
        <x:v>101524</x:v>
      </x:c>
      <x:c r="G92" s="144" t="n">
        <x:v>0.011411362524061363</x:v>
      </x:c>
      <x:c r="H92" s="144" t="n">
        <x:v>0.05645087973531734</x:v>
      </x:c>
      <x:c r="I92" s="137" t="str">
        <x:v>POSITIVE-MODEL-MARGIN</x:v>
      </x:c>
      <x:c r="J92" s="137" t="str">
        <x:v>V0.7-CONTROLLED-RESEARCH-SCREEN-NOT-DISTRIBUTION</x:v>
      </x:c>
    </x:row>
    <x:row r="93" ht="22" customHeight="1">
      <x:c r="A93" s="136" t="str">
        <x:v>SCR-0088</x:v>
      </x:c>
      <x:c r="B93" s="143" t="n">
        <x:v>1.9743589743589744e-7</x:v>
      </x:c>
      <x:c r="C93" s="143" t="n">
        <x:v>0.004538461538461538</x:v>
      </x:c>
      <x:c r="D93" s="161" t="n">
        <x:v>171</x:v>
      </x:c>
      <x:c r="E93" s="163" t="n">
        <x:v>99189.65760574295</x:v>
      </x:c>
      <x:c r="F93" s="163" t="n">
        <x:v>99189</x:v>
      </x:c>
      <x:c r="G93" s="145" t="n">
        <x:v>0.011659274490536586</x:v>
      </x:c>
      <x:c r="H93" s="145" t="n">
        <x:v>0.05755479049656198</x:v>
      </x:c>
      <x:c r="I93" s="136" t="str">
        <x:v>POSITIVE-MODEL-MARGIN</x:v>
      </x:c>
      <x:c r="J93" s="136" t="str">
        <x:v>V0.7-CONTROLLED-RESEARCH-SCREEN-NOT-DISTRIBUTION</x:v>
      </x:c>
    </x:row>
    <x:row r="94" ht="22" customHeight="1">
      <x:c r="A94" s="137" t="str">
        <x:v>SCR-0089</x:v>
      </x:c>
      <x:c r="B94" s="142" t="n">
        <x:v>1.9743589743589744e-7</x:v>
      </x:c>
      <x:c r="C94" s="142" t="n">
        <x:v>0.004846153846153846</x:v>
      </x:c>
      <x:c r="D94" s="160" t="n">
        <x:v>171</x:v>
      </x:c>
      <x:c r="E94" s="162" t="n">
        <x:v>96878.52326653538</x:v>
      </x:c>
      <x:c r="F94" s="162" t="n">
        <x:v>96878</x:v>
      </x:c>
      <x:c r="G94" s="144" t="n">
        <x:v>0.011962545050766047</x:v>
      </x:c>
      <x:c r="H94" s="144" t="n">
        <x:v>0.0588385547108623</x:v>
      </x:c>
      <x:c r="I94" s="137" t="str">
        <x:v>POSITIVE-MODEL-MARGIN</x:v>
      </x:c>
      <x:c r="J94" s="137" t="str">
        <x:v>V0.7-CONTROLLED-RESEARCH-SCREEN-NOT-DISTRIBUTION</x:v>
      </x:c>
    </x:row>
    <x:row r="95" ht="22" customHeight="1">
      <x:c r="A95" s="136" t="str">
        <x:v>SCR-0090</x:v>
      </x:c>
      <x:c r="B95" s="143" t="n">
        <x:v>1.9743589743589744e-7</x:v>
      </x:c>
      <x:c r="C95" s="143" t="n">
        <x:v>0.005</x:v>
      </x:c>
      <x:c r="D95" s="161" t="n">
        <x:v>169</x:v>
      </x:c>
      <x:c r="E95" s="163" t="n">
        <x:v>95732.27926982525</x:v>
      </x:c>
      <x:c r="F95" s="163" t="n">
        <x:v>95732</x:v>
      </x:c>
      <x:c r="G95" s="145" t="n">
        <x:v>0.012058991208813773</x:v>
      </x:c>
      <x:c r="H95" s="145" t="n">
        <x:v>0.059302786581157875</x:v>
      </x:c>
      <x:c r="I95" s="136" t="str">
        <x:v>POSITIVE-MODEL-MARGIN</x:v>
      </x:c>
      <x:c r="J95" s="136" t="str">
        <x:v>V0.7-CONTROLLED-RESEARCH-SCREEN-NOT-DISTRIBUTION</x:v>
      </x:c>
    </x:row>
    <x:row r="96" ht="22" customHeight="1">
      <x:c r="A96" s="137" t="str">
        <x:v>SCR-0091</x:v>
      </x:c>
      <x:c r="B96" s="142" t="n">
        <x:v>1.9743589743589744e-7</x:v>
      </x:c>
      <x:c r="C96" s="142" t="n">
        <x:v>0.005153846153846154</x:v>
      </x:c>
      <x:c r="D96" s="160" t="n">
        <x:v>169</x:v>
      </x:c>
      <x:c r="E96" s="162" t="n">
        <x:v>94588.84673475871</x:v>
      </x:c>
      <x:c r="F96" s="162" t="n">
        <x:v>94588</x:v>
      </x:c>
      <x:c r="G96" s="144" t="n">
        <x:v>0.012210643641731635</x:v>
      </x:c>
      <x:c r="H96" s="144" t="n">
        <x:v>0.059943775944955896</x:v>
      </x:c>
      <x:c r="I96" s="137" t="str">
        <x:v>POSITIVE-MODEL-MARGIN</x:v>
      </x:c>
      <x:c r="J96" s="137" t="str">
        <x:v>V0.7-CONTROLLED-RESEARCH-SCREEN-NOT-DISTRIBUTION</x:v>
      </x:c>
    </x:row>
    <x:row r="97" ht="22" customHeight="1">
      <x:c r="A97" s="136" t="str">
        <x:v>SCR-0092</x:v>
      </x:c>
      <x:c r="B97" s="143" t="n">
        <x:v>1.9743589743589744e-7</x:v>
      </x:c>
      <x:c r="C97" s="143" t="n">
        <x:v>0.005461538461538462</x:v>
      </x:c>
      <x:c r="D97" s="161" t="n">
        <x:v>169</x:v>
      </x:c>
      <x:c r="E97" s="163" t="n">
        <x:v>92315.55835704706</x:v>
      </x:c>
      <x:c r="F97" s="163" t="n">
        <x:v>92315</x:v>
      </x:c>
      <x:c r="G97" s="145" t="n">
        <x:v>0.012513948507567365</x:v>
      </x:c>
      <x:c r="H97" s="145" t="n">
        <x:v>0.06122379342541692</x:v>
      </x:c>
      <x:c r="I97" s="136" t="str">
        <x:v>POSITIVE-MODEL-MARGIN</x:v>
      </x:c>
      <x:c r="J97" s="136" t="str">
        <x:v>V0.7-CONTROLLED-RESEARCH-SCREEN-NOT-DISTRIBUTION</x:v>
      </x:c>
    </x:row>
    <x:row r="98" ht="22" customHeight="1">
      <x:c r="A98" s="137" t="str">
        <x:v>SCR-0093</x:v>
      </x:c>
      <x:c r="B98" s="142" t="n">
        <x:v>1.9743589743589744e-7</x:v>
      </x:c>
      <x:c r="C98" s="142" t="n">
        <x:v>0.0057692307692307696</x:v>
      </x:c>
      <x:c r="D98" s="160" t="n">
        <x:v>169</x:v>
      </x:c>
      <x:c r="E98" s="162" t="n">
        <x:v>90064.32690277354</x:v>
      </x:c>
      <x:c r="F98" s="162" t="n">
        <x:v>90064</x:v>
      </x:c>
      <x:c r="G98" s="144" t="n">
        <x:v>0.01281725337340309</x:v>
      </x:c>
      <x:c r="H98" s="144" t="n">
        <x:v>0.0625012717185968</x:v>
      </x:c>
      <x:c r="I98" s="137" t="str">
        <x:v>POSITIVE-MODEL-MARGIN</x:v>
      </x:c>
      <x:c r="J98" s="137" t="str">
        <x:v>V0.7-CONTROLLED-RESEARCH-SCREEN-NOT-DISTRIBUTION</x:v>
      </x:c>
    </x:row>
    <x:row r="99" ht="22" customHeight="1">
      <x:c r="A99" s="136" t="str">
        <x:v>SCR-0094</x:v>
      </x:c>
      <x:c r="B99" s="143" t="n">
        <x:v>1.9743589743589744e-7</x:v>
      </x:c>
      <x:c r="C99" s="143" t="n">
        <x:v>0.006076923076923077</x:v>
      </x:c>
      <x:c r="D99" s="161" t="n">
        <x:v>169</x:v>
      </x:c>
      <x:c r="E99" s="163" t="n">
        <x:v>87830.31440868891</x:v>
      </x:c>
      <x:c r="F99" s="163" t="n">
        <x:v>87830</x:v>
      </x:c>
      <x:c r="G99" s="145" t="n">
        <x:v>0.01312055823923882</x:v>
      </x:c>
      <x:c r="H99" s="145" t="n">
        <x:v>0.06377629712847904</x:v>
      </x:c>
      <x:c r="I99" s="136" t="str">
        <x:v>POSITIVE-MODEL-MARGIN</x:v>
      </x:c>
      <x:c r="J99" s="136" t="str">
        <x:v>V0.7-CONTROLLED-RESEARCH-SCREEN-NOT-DISTRIBUTION</x:v>
      </x:c>
    </x:row>
    <x:row r="100" ht="22" customHeight="1">
      <x:c r="A100" s="137" t="str">
        <x:v>SCR-0095</x:v>
      </x:c>
      <x:c r="B100" s="142" t="n">
        <x:v>1.9743589743589744e-7</x:v>
      </x:c>
      <x:c r="C100" s="142" t="n">
        <x:v>0.006384615384615384</x:v>
      </x:c>
      <x:c r="D100" s="160" t="n">
        <x:v>167</x:v>
      </x:c>
      <x:c r="E100" s="162" t="n">
        <x:v>85612.89668662312</x:v>
      </x:c>
      <x:c r="F100" s="162" t="n">
        <x:v>85612</x:v>
      </x:c>
      <x:c r="G100" s="144" t="n">
        <x:v>0.013368901242776768</x:v>
      </x:c>
      <x:c r="H100" s="144" t="n">
        <x:v>0.06488149629319775</x:v>
      </x:c>
      <x:c r="I100" s="137" t="str">
        <x:v>POSITIVE-MODEL-MARGIN</x:v>
      </x:c>
      <x:c r="J100" s="137" t="str">
        <x:v>V0.7-CONTROLLED-RESEARCH-SCREEN-NOT-DISTRIBUTION</x:v>
      </x:c>
    </x:row>
    <x:row r="101" ht="22" customHeight="1">
      <x:c r="A101" s="136" t="str">
        <x:v>SCR-0096</x:v>
      </x:c>
      <x:c r="B101" s="143" t="n">
        <x:v>1.9743589743589744e-7</x:v>
      </x:c>
      <x:c r="C101" s="143" t="n">
        <x:v>0.006692307692307693</x:v>
      </x:c>
      <x:c r="D101" s="161" t="n">
        <x:v>167</x:v>
      </x:c>
      <x:c r="E101" s="163" t="n">
        <x:v>83417.80073970639</x:v>
      </x:c>
      <x:c r="F101" s="163" t="n">
        <x:v>83417</x:v>
      </x:c>
      <x:c r="G101" s="145" t="n">
        <x:v>0.013672240368786578</x:v>
      </x:c>
      <x:c r="H101" s="145" t="n">
        <x:v>0.06615338013263972</x:v>
      </x:c>
      <x:c r="I101" s="136" t="str">
        <x:v>POSITIVE-MODEL-MARGIN</x:v>
      </x:c>
      <x:c r="J101" s="136" t="str">
        <x:v>V0.7-CONTROLLED-RESEARCH-SCREEN-NOT-DISTRIBUTION</x:v>
      </x:c>
    </x:row>
    <x:row r="102" ht="22" customHeight="1">
      <x:c r="A102" s="137" t="str">
        <x:v>SCR-0097</x:v>
      </x:c>
      <x:c r="B102" s="142" t="n">
        <x:v>1.9743589743589744e-7</x:v>
      </x:c>
      <x:c r="C102" s="142" t="n">
        <x:v>0.007</x:v>
      </x:c>
      <x:c r="D102" s="160" t="n">
        <x:v>166</x:v>
      </x:c>
      <x:c r="E102" s="162" t="n">
        <x:v>81238.05305638547</x:v>
      </x:c>
      <x:c r="F102" s="162" t="n">
        <x:v>81238</x:v>
      </x:c>
      <x:c r="G102" s="144" t="n">
        <x:v>0.013948151795641696</x:v>
      </x:c>
      <x:c r="H102" s="144" t="n">
        <x:v>0.06734163431025292</x:v>
      </x:c>
      <x:c r="I102" s="137" t="str">
        <x:v>POSITIVE-MODEL-MARGIN</x:v>
      </x:c>
      <x:c r="J102" s="137" t="str">
        <x:v>V0.7-CONTROLLED-RESEARCH-SCREEN-NOT-DISTRIBUTION</x:v>
      </x:c>
    </x:row>
    <x:row r="103" ht="22" customHeight="1">
      <x:c r="A103" s="136" t="str">
        <x:v>SCR-0098</x:v>
      </x:c>
      <x:c r="B103" s="143" t="n">
        <x:v>1.9743589743589744e-7</x:v>
      </x:c>
      <x:c r="C103" s="143" t="n">
        <x:v>0.007307692307692308</x:v>
      </x:c>
      <x:c r="D103" s="161" t="n">
        <x:v>166</x:v>
      </x:c>
      <x:c r="E103" s="163" t="n">
        <x:v>79075.42398562774</x:v>
      </x:c>
      <x:c r="F103" s="163" t="n">
        <x:v>79075</x:v>
      </x:c>
      <x:c r="G103" s="145" t="n">
        <x:v>0.014251508039897803</x:v>
      </x:c>
      <x:c r="H103" s="145" t="n">
        <x:v>0.06860986643272587</x:v>
      </x:c>
      <x:c r="I103" s="136" t="str">
        <x:v>POSITIVE-MODEL-MARGIN</x:v>
      </x:c>
      <x:c r="J103" s="136" t="str">
        <x:v>V0.7-CONTROLLED-RESEARCH-SCREEN-NOT-DISTRIBUTION</x:v>
      </x:c>
    </x:row>
    <x:row r="104" ht="22" customHeight="1">
      <x:c r="A104" s="137" t="str">
        <x:v>SCR-0099</x:v>
      </x:c>
      <x:c r="B104" s="142" t="n">
        <x:v>1.9743589743589744e-7</x:v>
      </x:c>
      <x:c r="C104" s="142" t="n">
        <x:v>0.007615384615384616</x:v>
      </x:c>
      <x:c r="D104" s="160" t="n">
        <x:v>164</x:v>
      </x:c>
      <x:c r="E104" s="162" t="n">
        <x:v>76931.77655638166</x:v>
      </x:c>
      <x:c r="F104" s="162" t="n">
        <x:v>76931</x:v>
      </x:c>
      <x:c r="G104" s="144" t="n">
        <x:v>0.014500148727785767</x:v>
      </x:c>
      <x:c r="H104" s="144" t="n">
        <x:v>0.06971830197352255</x:v>
      </x:c>
      <x:c r="I104" s="137" t="str">
        <x:v>POSITIVE-MODEL-MARGIN</x:v>
      </x:c>
      <x:c r="J104" s="137" t="str">
        <x:v>V0.7-CONTROLLED-RESEARCH-SCREEN-NOT-DISTRIBUTION</x:v>
      </x:c>
    </x:row>
    <x:row r="105" ht="22" customHeight="1">
      <x:c r="A105" s="136" t="str">
        <x:v>SCR-0100</x:v>
      </x:c>
      <x:c r="B105" s="143" t="n">
        <x:v>1.9743589743589744e-7</x:v>
      </x:c>
      <x:c r="C105" s="143" t="n">
        <x:v>0.007923076923076923</x:v>
      </x:c>
      <x:c r="D105" s="161" t="n">
        <x:v>164</x:v>
      </x:c>
      <x:c r="E105" s="163" t="n">
        <x:v>74805.36555970185</x:v>
      </x:c>
      <x:c r="F105" s="163" t="n">
        <x:v>74805</x:v>
      </x:c>
      <x:c r="G105" s="145" t="n">
        <x:v>0.01480353916393583</x:v>
      </x:c>
      <x:c r="H105" s="145" t="n">
        <x:v>0.07098389090623607</x:v>
      </x:c>
      <x:c r="I105" s="136" t="str">
        <x:v>POSITIVE-MODEL-MARGIN</x:v>
      </x:c>
      <x:c r="J105" s="136" t="str">
        <x:v>V0.7-CONTROLLED-RESEARCH-SCREEN-NOT-DISTRIBUTION</x:v>
      </x:c>
    </x:row>
    <x:row r="106" ht="22" customHeight="1">
      <x:c r="A106" s="137" t="str">
        <x:v>SCR-0101</x:v>
      </x:c>
      <x:c r="B106" s="142" t="n">
        <x:v>1.9743589743589744e-7</x:v>
      </x:c>
      <x:c r="C106" s="142" t="n">
        <x:v>0.00823076923076923</x:v>
      </x:c>
      <x:c r="D106" s="160" t="n">
        <x:v>162</x:v>
      </x:c>
      <x:c r="E106" s="162" t="n">
        <x:v>72694.83176823297</x:v>
      </x:c>
      <x:c r="F106" s="162" t="n">
        <x:v>72694</x:v>
      </x:c>
      <x:c r="G106" s="144" t="n">
        <x:v>0.01505236802733508</x:v>
      </x:c>
      <x:c r="H106" s="144" t="n">
        <x:v>0.07209565078372734</x:v>
      </x:c>
      <x:c r="I106" s="137" t="str">
        <x:v>POSITIVE-MODEL-MARGIN</x:v>
      </x:c>
      <x:c r="J106" s="137" t="str">
        <x:v>V0.7-CONTROLLED-RESEARCH-SCREEN-NOT-DISTRIBUTION</x:v>
      </x:c>
    </x:row>
    <x:row r="107" ht="22" customHeight="1">
      <x:c r="A107" s="136" t="str">
        <x:v>SCR-0102</x:v>
      </x:c>
      <x:c r="B107" s="143" t="n">
        <x:v>1.9743589743589744e-7</x:v>
      </x:c>
      <x:c r="C107" s="143" t="n">
        <x:v>0.00853846153846154</x:v>
      </x:c>
      <x:c r="D107" s="161" t="n">
        <x:v>161</x:v>
      </x:c>
      <x:c r="E107" s="163" t="n">
        <x:v>70601.79034229506</x:v>
      </x:c>
      <x:c r="F107" s="163" t="n">
        <x:v>70601</x:v>
      </x:c>
      <x:c r="G107" s="145" t="n">
        <x:v>0.015328557397341493</x:v>
      </x:c>
      <x:c r="H107" s="145" t="n">
        <x:v>0.07328475000521942</x:v>
      </x:c>
      <x:c r="I107" s="136" t="str">
        <x:v>POSITIVE-MODEL-MARGIN</x:v>
      </x:c>
      <x:c r="J107" s="136" t="str">
        <x:v>V0.7-CONTROLLED-RESEARCH-SCREEN-NOT-DISTRIBUTION</x:v>
      </x:c>
    </x:row>
    <x:row r="108" ht="22" customHeight="1">
      <x:c r="A108" s="137" t="str">
        <x:v>SCR-0103</x:v>
      </x:c>
      <x:c r="B108" s="142" t="n">
        <x:v>1.9743589743589744e-7</x:v>
      </x:c>
      <x:c r="C108" s="142" t="n">
        <x:v>0.008846153846153847</x:v>
      </x:c>
      <x:c r="D108" s="160" t="n">
        <x:v>161</x:v>
      </x:c>
      <x:c r="E108" s="162" t="n">
        <x:v>68525.47563853237</x:v>
      </x:c>
      <x:c r="F108" s="162" t="n">
        <x:v>68525</x:v>
      </x:c>
      <x:c r="G108" s="144" t="n">
        <x:v>0.015631999023143595</x:v>
      </x:c>
      <x:c r="H108" s="144" t="n">
        <x:v>0.07454678796502844</x:v>
      </x:c>
      <x:c r="I108" s="137" t="str">
        <x:v>POSITIVE-MODEL-MARGIN</x:v>
      </x:c>
      <x:c r="J108" s="137" t="str">
        <x:v>V0.7-CONTROLLED-RESEARCH-SCREEN-NOT-DISTRIBUTION</x:v>
      </x:c>
    </x:row>
    <x:row r="109" ht="22" customHeight="1">
      <x:c r="A109" s="136" t="str">
        <x:v>SCR-0104</x:v>
      </x:c>
      <x:c r="B109" s="143" t="n">
        <x:v>1.9743589743589744e-7</x:v>
      </x:c>
      <x:c r="C109" s="143" t="n">
        <x:v>0.009153846153846155</x:v>
      </x:c>
      <x:c r="D109" s="161" t="n">
        <x:v>160</x:v>
      </x:c>
      <x:c r="E109" s="163" t="n">
        <x:v>66463.90944763398</x:v>
      </x:c>
      <x:c r="F109" s="163" t="n">
        <x:v>66463</x:v>
      </x:c>
      <x:c r="G109" s="145" t="n">
        <x:v>0.01590825661508867</x:v>
      </x:c>
      <x:c r="H109" s="145" t="n">
        <x:v>0.07573517649426643</x:v>
      </x:c>
      <x:c r="I109" s="136" t="str">
        <x:v>POSITIVE-MODEL-MARGIN</x:v>
      </x:c>
      <x:c r="J109" s="136" t="str">
        <x:v>V0.7-CONTROLLED-RESEARCH-SCREEN-NOT-DISTRIBUTION</x:v>
      </x:c>
    </x:row>
    <x:row r="110" ht="22" customHeight="1">
      <x:c r="A110" s="137" t="str">
        <x:v>SCR-0105</x:v>
      </x:c>
      <x:c r="B110" s="142" t="n">
        <x:v>1.9743589743589744e-7</x:v>
      </x:c>
      <x:c r="C110" s="142" t="n">
        <x:v>0.009461538461538462</x:v>
      </x:c>
      <x:c r="D110" s="160" t="n">
        <x:v>159</x:v>
      </x:c>
      <x:c r="E110" s="162" t="n">
        <x:v>64418.582327305405</x:v>
      </x:c>
      <x:c r="F110" s="162" t="n">
        <x:v>64418</x:v>
      </x:c>
      <x:c r="G110" s="144" t="n">
        <x:v>0.016184563897950657</x:v>
      </x:c>
      <x:c r="H110" s="144" t="n">
        <x:v>0.07692404764477156</x:v>
      </x:c>
      <x:c r="I110" s="137" t="str">
        <x:v>POSITIVE-MODEL-MARGIN</x:v>
      </x:c>
      <x:c r="J110" s="137" t="str">
        <x:v>V0.7-CONTROLLED-RESEARCH-SCREEN-NOT-DISTRIBUTION</x:v>
      </x:c>
    </x:row>
    <x:row r="111" ht="22" customHeight="1">
      <x:c r="A111" s="136" t="str">
        <x:v>SCR-0106</x:v>
      </x:c>
      <x:c r="B111" s="143" t="n">
        <x:v>1.9743589743589744e-7</x:v>
      </x:c>
      <x:c r="C111" s="143" t="n">
        <x:v>0.00976923076923077</x:v>
      </x:c>
      <x:c r="D111" s="161" t="n">
        <x:v>158</x:v>
      </x:c>
      <x:c r="E111" s="163" t="n">
        <x:v>62389.31148100377</x:v>
      </x:c>
      <x:c r="F111" s="163" t="n">
        <x:v>62389</x:v>
      </x:c>
      <x:c r="G111" s="145" t="n">
        <x:v>0.016460919386444863</x:v>
      </x:c>
      <x:c r="H111" s="145" t="n">
        <x:v>0.07811346242336738</x:v>
      </x:c>
      <x:c r="I111" s="136" t="str">
        <x:v>POSITIVE-MODEL-MARGIN</x:v>
      </x:c>
      <x:c r="J111" s="136" t="str">
        <x:v>V0.7-CONTROLLED-RESEARCH-SCREEN-NOT-DISTRIBUTION</x:v>
      </x:c>
    </x:row>
    <x:row r="112" ht="22" customHeight="1">
      <x:c r="A112" s="137" t="str">
        <x:v>SCR-0107</x:v>
      </x:c>
      <x:c r="B112" s="142" t="n">
        <x:v>1.9743589743589744e-7</x:v>
      </x:c>
      <x:c r="C112" s="142" t="n">
        <x:v>0.010076923076923077</x:v>
      </x:c>
      <x:c r="D112" s="160" t="n">
        <x:v>158</x:v>
      </x:c>
      <x:c r="E112" s="162" t="n">
        <x:v>60373.838457765065</x:v>
      </x:c>
      <x:c r="F112" s="162" t="n">
        <x:v>60373</x:v>
      </x:c>
      <x:c r="G112" s="144" t="n">
        <x:v>0.016764412105639018</x:v>
      </x:c>
      <x:c r="H112" s="144" t="n">
        <x:v>0.07937066032284823</x:v>
      </x:c>
      <x:c r="I112" s="137" t="str">
        <x:v>POSITIVE-MODEL-MARGIN</x:v>
      </x:c>
      <x:c r="J112" s="137" t="str">
        <x:v>V0.7-CONTROLLED-RESEARCH-SCREEN-NOT-DISTRIBUTION</x:v>
      </x:c>
    </x:row>
    <x:row r="113" ht="22" customHeight="1">
      <x:c r="A113" s="136" t="str">
        <x:v>SCR-0108</x:v>
      </x:c>
      <x:c r="B113" s="143" t="n">
        <x:v>1.9743589743589744e-7</x:v>
      </x:c>
      <x:c r="C113" s="143" t="n">
        <x:v>0.010384615384615384</x:v>
      </x:c>
      <x:c r="D113" s="161" t="n">
        <x:v>156</x:v>
      </x:c>
      <x:c r="E113" s="163" t="n">
        <x:v>58375.69341937069</x:v>
      </x:c>
      <x:c r="F113" s="163" t="n">
        <x:v>58375</x:v>
      </x:c>
      <x:c r="G113" s="145" t="n">
        <x:v>0.017013808009469646</x:v>
      </x:c>
      <x:c r="H113" s="145" t="n">
        <x:v>0.08049457038334673</x:v>
      </x:c>
      <x:c r="I113" s="136" t="str">
        <x:v>POSITIVE-MODEL-MARGIN</x:v>
      </x:c>
      <x:c r="J113" s="136" t="str">
        <x:v>V0.7-CONTROLLED-RESEARCH-SCREEN-NOT-DISTRIBUTION</x:v>
      </x:c>
    </x:row>
    <x:row r="114" ht="22" customHeight="1">
      <x:c r="A114" s="137" t="str">
        <x:v>SCR-0109</x:v>
      </x:c>
      <x:c r="B114" s="142" t="n">
        <x:v>1.9743589743589744e-7</x:v>
      </x:c>
      <x:c r="C114" s="142" t="n">
        <x:v>0.010692307692307692</x:v>
      </x:c>
      <x:c r="D114" s="160" t="n">
        <x:v>156</x:v>
      </x:c>
      <x:c r="E114" s="162" t="n">
        <x:v>56391.84971985012</x:v>
      </x:c>
      <x:c r="F114" s="162" t="n">
        <x:v>56391</x:v>
      </x:c>
      <x:c r="G114" s="144" t="n">
        <x:v>0.017317334725105063</x:v>
      </x:c>
      <x:c r="H114" s="144" t="n">
        <x:v>0.08175000785100658</x:v>
      </x:c>
      <x:c r="I114" s="137" t="str">
        <x:v>POSITIVE-MODEL-MARGIN</x:v>
      </x:c>
      <x:c r="J114" s="137" t="str">
        <x:v>V0.7-CONTROLLED-RESEARCH-SCREEN-NOT-DISTRIBUTION</x:v>
      </x:c>
    </x:row>
    <x:row r="115" ht="22" customHeight="1">
      <x:c r="A115" s="136" t="str">
        <x:v>SCR-0110</x:v>
      </x:c>
      <x:c r="B115" s="143" t="n">
        <x:v>1.9743589743589744e-7</x:v>
      </x:c>
      <x:c r="C115" s="143" t="n">
        <x:v>0.011</x:v>
      </x:c>
      <x:c r="D115" s="161" t="n">
        <x:v>154</x:v>
      </x:c>
      <x:c r="E115" s="163" t="n">
        <x:v>54425.85997482633</x:v>
      </x:c>
      <x:c r="F115" s="163" t="n">
        <x:v>54425</x:v>
      </x:c>
      <x:c r="G115" s="145" t="n">
        <x:v>0.017566909767734444</x:v>
      </x:c>
      <x:c r="H115" s="145" t="n">
        <x:v>0.08287898993832755</x:v>
      </x:c>
      <x:c r="I115" s="136" t="str">
        <x:v>POSITIVE-MODEL-MARGIN</x:v>
      </x:c>
      <x:c r="J115" s="136" t="str">
        <x:v>V0.7-CONTROLLED-RESEARCH-SCREEN-NOT-DISTRIBUTION</x:v>
      </x:c>
    </x:row>
    <x:row r="116" ht="22" customHeight="1">
      <x:c r="A116" s="137" t="str">
        <x:v>SCR-0111</x:v>
      </x:c>
      <x:c r="B116" s="142" t="n">
        <x:v>1.9743589743589744e-7</x:v>
      </x:c>
      <x:c r="C116" s="142" t="n">
        <x:v>0.011307692307692307</x:v>
      </x:c>
      <x:c r="D116" s="160" t="n">
        <x:v>154</x:v>
      </x:c>
      <x:c r="E116" s="162" t="n">
        <x:v>52472.812196707084</x:v>
      </x:c>
      <x:c r="F116" s="162" t="n">
        <x:v>52472</x:v>
      </x:c>
      <x:c r="G116" s="144" t="n">
        <x:v>0.017870470431266536</x:v>
      </x:c>
      <x:c r="H116" s="144" t="n">
        <x:v>0.08413283416832296</x:v>
      </x:c>
      <x:c r="I116" s="137" t="str">
        <x:v>POSITIVE-MODEL-MARGIN</x:v>
      </x:c>
      <x:c r="J116" s="137" t="str">
        <x:v>V0.7-CONTROLLED-RESEARCH-SCREEN-NOT-DISTRIBUTION</x:v>
      </x:c>
    </x:row>
    <x:row r="117" ht="22" customHeight="1">
      <x:c r="A117" s="136" t="str">
        <x:v>SCR-0112</x:v>
      </x:c>
      <x:c r="B117" s="143" t="n">
        <x:v>1.9743589743589744e-7</x:v>
      </x:c>
      <x:c r="C117" s="143" t="n">
        <x:v>0.011615384615384614</x:v>
      </x:c>
      <x:c r="D117" s="161" t="n">
        <x:v>152</x:v>
      </x:c>
      <x:c r="E117" s="163" t="n">
        <x:v>50532.11723609732</x:v>
      </x:c>
      <x:c r="F117" s="163" t="n">
        <x:v>50532</x:v>
      </x:c>
      <x:c r="G117" s="145" t="n">
        <x:v>0.018120250378594636</x:v>
      </x:c>
      <x:c r="H117" s="145" t="n">
        <x:v>0.0852676214338223</x:v>
      </x:c>
      <x:c r="I117" s="136" t="str">
        <x:v>POSITIVE-MODEL-MARGIN</x:v>
      </x:c>
      <x:c r="J117" s="136" t="str">
        <x:v>V0.7-CONTROLLED-RESEARCH-SCREEN-NOT-DISTRIBUTION</x:v>
      </x:c>
    </x:row>
    <x:row r="118" ht="22" customHeight="1">
      <x:c r="A118" s="137" t="str">
        <x:v>SCR-0113</x:v>
      </x:c>
      <x:c r="B118" s="142" t="n">
        <x:v>1.9743589743589744e-7</x:v>
      </x:c>
      <x:c r="C118" s="142" t="n">
        <x:v>0.011923076923076925</x:v>
      </x:c>
      <x:c r="D118" s="160" t="n">
        <x:v>152</x:v>
      </x:c>
      <x:c r="E118" s="162" t="n">
        <x:v>48609.12034552954</x:v>
      </x:c>
      <x:c r="F118" s="162" t="n">
        <x:v>48609</x:v>
      </x:c>
      <x:c r="G118" s="144" t="n">
        <x:v>0.018423844925092827</x:v>
      </x:c>
      <x:c r="H118" s="144" t="n">
        <x:v>0.08652003374423206</x:v>
      </x:c>
      <x:c r="I118" s="137" t="str">
        <x:v>POSITIVE-MODEL-MARGIN</x:v>
      </x:c>
      <x:c r="J118" s="137" t="str">
        <x:v>V0.7-CONTROLLED-RESEARCH-SCREEN-NOT-DISTRIBUTION</x:v>
      </x:c>
    </x:row>
    <x:row r="119" ht="22" customHeight="1">
      <x:c r="A119" s="136" t="str">
        <x:v>SCR-0114</x:v>
      </x:c>
      <x:c r="B119" s="143" t="n">
        <x:v>1.9743589743589744e-7</x:v>
      </x:c>
      <x:c r="C119" s="143" t="n">
        <x:v>0.012230769230769233</x:v>
      </x:c>
      <x:c r="D119" s="161" t="n">
        <x:v>150</x:v>
      </x:c>
      <x:c r="E119" s="163" t="n">
        <x:v>46697.497450589864</x:v>
      </x:c>
      <x:c r="F119" s="163" t="n">
        <x:v>46697</x:v>
      </x:c>
      <x:c r="G119" s="145" t="n">
        <x:v>0.018673816226638558</x:v>
      </x:c>
      <x:c r="H119" s="145" t="n">
        <x:v>0.08766095543899519</x:v>
      </x:c>
      <x:c r="I119" s="136" t="str">
        <x:v>POSITIVE-MODEL-MARGIN</x:v>
      </x:c>
      <x:c r="J119" s="136" t="str">
        <x:v>V0.7-CONTROLLED-RESEARCH-SCREEN-NOT-DISTRIBUTION</x:v>
      </x:c>
    </x:row>
    <x:row r="120" ht="22" customHeight="1">
      <x:c r="A120" s="137" t="str">
        <x:v>SCR-0115</x:v>
      </x:c>
      <x:c r="B120" s="142" t="n">
        <x:v>1.9743589743589744e-7</x:v>
      </x:c>
      <x:c r="C120" s="142" t="n">
        <x:v>0.01253846153846154</x:v>
      </x:c>
      <x:c r="D120" s="160" t="n">
        <x:v>149</x:v>
      </x:c>
      <x:c r="E120" s="162" t="n">
        <x:v>44803.91770564265</x:v>
      </x:c>
      <x:c r="F120" s="162" t="n">
        <x:v>44803</x:v>
      </x:c>
      <x:c r="G120" s="144" t="n">
        <x:v>0.01895068887764467</x:v>
      </x:c>
      <x:c r="H120" s="144" t="n">
        <x:v>0.08885964572015269</x:v>
      </x:c>
      <x:c r="I120" s="137" t="str">
        <x:v>POSITIVE-MODEL-MARGIN</x:v>
      </x:c>
      <x:c r="J120" s="137" t="str">
        <x:v>V0.7-CONTROLLED-RESEARCH-SCREEN-NOT-DISTRIBUTION</x:v>
      </x:c>
    </x:row>
    <x:row r="121" ht="22" customHeight="1">
      <x:c r="A121" s="136" t="str">
        <x:v>SCR-0116</x:v>
      </x:c>
      <x:c r="B121" s="143" t="n">
        <x:v>1.9743589743589744e-7</x:v>
      </x:c>
      <x:c r="C121" s="143" t="n">
        <x:v>0.012846153846153847</x:v>
      </x:c>
      <x:c r="D121" s="161" t="n">
        <x:v>147</x:v>
      </x:c>
      <x:c r="E121" s="163" t="n">
        <x:v>42923.2438345988</x:v>
      </x:c>
      <x:c r="F121" s="163" t="n">
        <x:v>42923</x:v>
      </x:c>
      <x:c r="G121" s="145" t="n">
        <x:v>0.019200925723878968</x:v>
      </x:c>
      <x:c r="H121" s="145" t="n">
        <x:v>0.09001049746778567</x:v>
      </x:c>
      <x:c r="I121" s="136" t="str">
        <x:v>POSITIVE-MODEL-MARGIN</x:v>
      </x:c>
      <x:c r="J121" s="136" t="str">
        <x:v>V0.7-CONTROLLED-RESEARCH-SCREEN-NOT-DISTRIBUTION</x:v>
      </x:c>
    </x:row>
    <x:row r="122" ht="22" customHeight="1">
      <x:c r="A122" s="137" t="str">
        <x:v>SCR-0117</x:v>
      </x:c>
      <x:c r="B122" s="142" t="n">
        <x:v>1.9743589743589744e-7</x:v>
      </x:c>
      <x:c r="C122" s="142" t="n">
        <x:v>0.013153846153846155</x:v>
      </x:c>
      <x:c r="D122" s="160" t="n">
        <x:v>147</x:v>
      </x:c>
      <x:c r="E122" s="162" t="n">
        <x:v>41059.69726034391</x:v>
      </x:c>
      <x:c r="F122" s="162" t="n">
        <x:v>41059</x:v>
      </x:c>
      <x:c r="G122" s="144" t="n">
        <x:v>0.019504604718755418</x:v>
      </x:c>
      <x:c r="H122" s="144" t="n">
        <x:v>0.09126138309343836</x:v>
      </x:c>
      <x:c r="I122" s="137" t="str">
        <x:v>POSITIVE-MODEL-MARGIN</x:v>
      </x:c>
      <x:c r="J122" s="137" t="str">
        <x:v>V0.7-CONTROLLED-RESEARCH-SCREEN-NOT-DISTRIBUTION</x:v>
      </x:c>
    </x:row>
    <x:row r="123" ht="22" customHeight="1">
      <x:c r="A123" s="136" t="str">
        <x:v>SCR-0118</x:v>
      </x:c>
      <x:c r="B123" s="143" t="n">
        <x:v>1.9743589743589744e-7</x:v>
      </x:c>
      <x:c r="C123" s="143" t="n">
        <x:v>0.013461538461538462</x:v>
      </x:c>
      <x:c r="D123" s="161" t="n">
        <x:v>147</x:v>
      </x:c>
      <x:c r="E123" s="163" t="n">
        <x:v>39206.83883980425</x:v>
      </x:c>
      <x:c r="F123" s="163" t="n">
        <x:v>39206</x:v>
      </x:c>
      <x:c r="G123" s="145" t="n">
        <x:v>0.019808283713631865</x:v>
      </x:c>
      <x:c r="H123" s="145" t="n">
        <x:v>0.09251087557211593</x:v>
      </x:c>
      <x:c r="I123" s="136" t="str">
        <x:v>POSITIVE-MODEL-MARGIN</x:v>
      </x:c>
      <x:c r="J123" s="136" t="str">
        <x:v>V0.7-CONTROLLED-RESEARCH-SCREEN-NOT-DISTRIBUTION</x:v>
      </x:c>
    </x:row>
    <x:row r="124" ht="22" customHeight="1">
      <x:c r="A124" s="137" t="str">
        <x:v>SCR-0119</x:v>
      </x:c>
      <x:c r="B124" s="142" t="n">
        <x:v>1.9743589743589744e-7</x:v>
      </x:c>
      <x:c r="C124" s="142" t="n">
        <x:v>0.01376923076923077</x:v>
      </x:c>
      <x:c r="D124" s="160" t="n">
        <x:v>144</x:v>
      </x:c>
      <x:c r="E124" s="162" t="n">
        <x:v>37370.43818091267</x:v>
      </x:c>
      <x:c r="F124" s="162" t="n">
        <x:v>37370</x:v>
      </x:c>
      <x:c r="G124" s="144" t="n">
        <x:v>0.02003218600401343</x:v>
      </x:c>
      <x:c r="H124" s="144" t="n">
        <x:v>0.0936267709485934</x:v>
      </x:c>
      <x:c r="I124" s="137" t="str">
        <x:v>POSITIVE-MODEL-MARGIN</x:v>
      </x:c>
      <x:c r="J124" s="137" t="str">
        <x:v>V0.7-CONTROLLED-RESEARCH-SCREEN-NOT-DISTRIBUTION</x:v>
      </x:c>
    </x:row>
    <x:row r="125" ht="22" customHeight="1">
      <x:c r="A125" s="136" t="str">
        <x:v>SCR-0120</x:v>
      </x:c>
      <x:c r="B125" s="143" t="n">
        <x:v>1.9743589743589744e-7</x:v>
      </x:c>
      <x:c r="C125" s="143" t="n">
        <x:v>0.014076923076923077</x:v>
      </x:c>
      <x:c r="D125" s="161" t="n">
        <x:v>143</x:v>
      </x:c>
      <x:c r="E125" s="163" t="n">
        <x:v>35547.39321551727</x:v>
      </x:c>
      <x:c r="F125" s="163" t="n">
        <x:v>35547</x:v>
      </x:c>
      <x:c r="G125" s="145" t="n">
        <x:v>0.020309396913770386</x:v>
      </x:c>
      <x:c r="H125" s="145" t="n">
        <x:v>0.09483583293709665</x:v>
      </x:c>
      <x:c r="I125" s="136" t="str">
        <x:v>POSITIVE-MODEL-MARGIN</x:v>
      </x:c>
      <x:c r="J125" s="136" t="str">
        <x:v>V0.7-CONTROLLED-RESEARCH-SCREEN-NOT-DISTRIBUTION</x:v>
      </x:c>
    </x:row>
    <x:row r="126" ht="22" customHeight="1">
      <x:c r="A126" s="137" t="str">
        <x:v>SCR-0121</x:v>
      </x:c>
      <x:c r="B126" s="142" t="n">
        <x:v>1.9743589743589744e-7</x:v>
      </x:c>
      <x:c r="C126" s="142" t="n">
        <x:v>0.014384615384615385</x:v>
      </x:c>
      <x:c r="D126" s="160" t="n">
        <x:v>142</x:v>
      </x:c>
      <x:c r="E126" s="162" t="n">
        <x:v>33736.2291919301</x:v>
      </x:c>
      <x:c r="F126" s="162" t="n">
        <x:v>33736</x:v>
      </x:c>
      <x:c r="G126" s="144" t="n">
        <x:v>0.02058666666693239</x:v>
      </x:c>
      <x:c r="H126" s="144" t="n">
        <x:v>0.09604682469134761</x:v>
      </x:c>
      <x:c r="I126" s="137" t="str">
        <x:v>POSITIVE-MODEL-MARGIN</x:v>
      </x:c>
      <x:c r="J126" s="137" t="str">
        <x:v>V0.7-CONTROLLED-RESEARCH-SCREEN-NOT-DISTRIBUTION</x:v>
      </x:c>
    </x:row>
    <x:row r="127" ht="22" customHeight="1">
      <x:c r="A127" s="136" t="str">
        <x:v>SCR-0122</x:v>
      </x:c>
      <x:c r="B127" s="143" t="n">
        <x:v>1.9743589743589744e-7</x:v>
      </x:c>
      <x:c r="C127" s="143" t="n">
        <x:v>0.014692307692307692</x:v>
      </x:c>
      <x:c r="D127" s="161" t="n">
        <x:v>141</x:v>
      </x:c>
      <x:c r="E127" s="163" t="n">
        <x:v>31940.741042221216</x:v>
      </x:c>
      <x:c r="F127" s="163" t="n">
        <x:v>31940</x:v>
      </x:c>
      <x:c r="G127" s="145" t="n">
        <x:v>0.020863993311300937</x:v>
      </x:c>
      <x:c r="H127" s="145" t="n">
        <x:v>0.09725981318927679</x:v>
      </x:c>
      <x:c r="I127" s="136" t="str">
        <x:v>POSITIVE-MODEL-MARGIN</x:v>
      </x:c>
      <x:c r="J127" s="136" t="str">
        <x:v>V0.7-CONTROLLED-RESEARCH-SCREEN-NOT-DISTRIBUTION</x:v>
      </x:c>
    </x:row>
    <x:row r="128" ht="22" customHeight="1">
      <x:c r="A128" s="137" t="str">
        <x:v>SCR-0123</x:v>
      </x:c>
      <x:c r="B128" s="142" t="n">
        <x:v>1.9743589743589744e-7</x:v>
      </x:c>
      <x:c r="C128" s="142" t="n">
        <x:v>0.015</x:v>
      </x:c>
      <x:c r="D128" s="160" t="n">
        <x:v>140</x:v>
      </x:c>
      <x:c r="E128" s="162" t="n">
        <x:v>30158.50536503064</x:v>
      </x:c>
      <x:c r="F128" s="162" t="n">
        <x:v>30158</x:v>
      </x:c>
      <x:c r="G128" s="144" t="n">
        <x:v>0.021141412108759063</x:v>
      </x:c>
      <x:c r="H128" s="144" t="n">
        <x:v>0.09847532958568866</x:v>
      </x:c>
      <x:c r="I128" s="137" t="str">
        <x:v>POSITIVE-MODEL-MARGIN</x:v>
      </x:c>
      <x:c r="J128" s="137" t="str">
        <x:v>V0.7-CONTROLLED-RESEARCH-SCREEN-NOT-DISTRIBUTION</x:v>
      </x:c>
    </x:row>
    <x:row r="129" ht="22" customHeight="1">
      <x:c r="A129" s="136" t="str">
        <x:v>SCR-0124</x:v>
      </x:c>
      <x:c r="B129" s="143" t="n">
        <x:v>2.461538461538461e-7</x:v>
      </x:c>
      <x:c r="C129" s="143" t="n">
        <x:v>0.003</x:v>
      </x:c>
      <x:c r="D129" s="161" t="n">
        <x:v>155</x:v>
      </x:c>
      <x:c r="E129" s="163" t="n">
        <x:v>98826.45858959785</x:v>
      </x:c>
      <x:c r="F129" s="163" t="n">
        <x:v>98826</x:v>
      </x:c>
      <x:c r="G129" s="145" t="n">
        <x:v>0.01120900565627396</x:v>
      </x:c>
      <x:c r="H129" s="145" t="n">
        <x:v>0.056845657786786796</x:v>
      </x:c>
      <x:c r="I129" s="136" t="str">
        <x:v>POSITIVE-MODEL-MARGIN</x:v>
      </x:c>
      <x:c r="J129" s="136" t="str">
        <x:v>V0.7-CONTROLLED-RESEARCH-SCREEN-NOT-DISTRIBUTION</x:v>
      </x:c>
    </x:row>
    <x:row r="130" ht="22" customHeight="1">
      <x:c r="A130" s="137" t="str">
        <x:v>SCR-0125</x:v>
      </x:c>
      <x:c r="B130" s="142" t="n">
        <x:v>2.461538461538461e-7</x:v>
      </x:c>
      <x:c r="C130" s="142" t="n">
        <x:v>0.003307692307692308</x:v>
      </x:c>
      <x:c r="D130" s="160" t="n">
        <x:v>155</x:v>
      </x:c>
      <x:c r="E130" s="162" t="n">
        <x:v>96543.05910973423</x:v>
      </x:c>
      <x:c r="F130" s="162" t="n">
        <x:v>96543</x:v>
      </x:c>
      <x:c r="G130" s="144" t="n">
        <x:v>0.011511616234161663</x:v>
      </x:c>
      <x:c r="H130" s="144" t="n">
        <x:v>0.05815638713042925</x:v>
      </x:c>
      <x:c r="I130" s="137" t="str">
        <x:v>POSITIVE-MODEL-MARGIN</x:v>
      </x:c>
      <x:c r="J130" s="137" t="str">
        <x:v>V0.7-CONTROLLED-RESEARCH-SCREEN-NOT-DISTRIBUTION</x:v>
      </x:c>
    </x:row>
    <x:row r="131" ht="22" customHeight="1">
      <x:c r="A131" s="136" t="str">
        <x:v>SCR-0126</x:v>
      </x:c>
      <x:c r="B131" s="143" t="n">
        <x:v>2.461538461538461e-7</x:v>
      </x:c>
      <x:c r="C131" s="143" t="n">
        <x:v>0.0036153846153846154</x:v>
      </x:c>
      <x:c r="D131" s="161" t="n">
        <x:v>155</x:v>
      </x:c>
      <x:c r="E131" s="163" t="n">
        <x:v>94278.66522411739</x:v>
      </x:c>
      <x:c r="F131" s="163" t="n">
        <x:v>94278</x:v>
      </x:c>
      <x:c r="G131" s="145" t="n">
        <x:v>0.011814226812049364</x:v>
      </x:c>
      <x:c r="H131" s="145" t="n">
        <x:v>0.05946417790594464</x:v>
      </x:c>
      <x:c r="I131" s="136" t="str">
        <x:v>POSITIVE-MODEL-MARGIN</x:v>
      </x:c>
      <x:c r="J131" s="136" t="str">
        <x:v>V0.7-CONTROLLED-RESEARCH-SCREEN-NOT-DISTRIBUTION</x:v>
      </x:c>
    </x:row>
    <x:row r="132" ht="22" customHeight="1">
      <x:c r="A132" s="137" t="str">
        <x:v>SCR-0127</x:v>
      </x:c>
      <x:c r="B132" s="142" t="n">
        <x:v>2.461538461538461e-7</x:v>
      </x:c>
      <x:c r="C132" s="142" t="n">
        <x:v>0.003923076923076923</x:v>
      </x:c>
      <x:c r="D132" s="160" t="n">
        <x:v>154</x:v>
      </x:c>
      <x:c r="E132" s="162" t="n">
        <x:v>92035.91105224022</x:v>
      </x:c>
      <x:c r="F132" s="162" t="n">
        <x:v>92035</x:v>
      </x:c>
      <x:c r="G132" s="144" t="n">
        <x:v>0.012082932469700316</x:v>
      </x:c>
      <x:c r="H132" s="144" t="n">
        <x:v>0.06066016346567467</x:v>
      </x:c>
      <x:c r="I132" s="137" t="str">
        <x:v>POSITIVE-MODEL-MARGIN</x:v>
      </x:c>
      <x:c r="J132" s="137" t="str">
        <x:v>V0.7-CONTROLLED-RESEARCH-SCREEN-NOT-DISTRIBUTION</x:v>
      </x:c>
    </x:row>
    <x:row r="133" ht="22" customHeight="1">
      <x:c r="A133" s="136" t="str">
        <x:v>SCR-0128</x:v>
      </x:c>
      <x:c r="B133" s="143" t="n">
        <x:v>2.461538461538461e-7</x:v>
      </x:c>
      <x:c r="C133" s="143" t="n">
        <x:v>0.004230769230769231</x:v>
      </x:c>
      <x:c r="D133" s="161" t="n">
        <x:v>154</x:v>
      </x:c>
      <x:c r="E133" s="163" t="n">
        <x:v>89808.60001210745</x:v>
      </x:c>
      <x:c r="F133" s="163" t="n">
        <x:v>89808</x:v>
      </x:c>
      <x:c r="G133" s="145" t="n">
        <x:v>0.012385564077165975</x:v>
      </x:c>
      <x:c r="H133" s="145" t="n">
        <x:v>0.061963417910543286</x:v>
      </x:c>
      <x:c r="I133" s="136" t="str">
        <x:v>POSITIVE-MODEL-MARGIN</x:v>
      </x:c>
      <x:c r="J133" s="136" t="str">
        <x:v>V0.7-CONTROLLED-RESEARCH-SCREEN-NOT-DISTRIBUTION</x:v>
      </x:c>
    </x:row>
    <x:row r="134" ht="22" customHeight="1">
      <x:c r="A134" s="137" t="str">
        <x:v>SCR-0129</x:v>
      </x:c>
      <x:c r="B134" s="142" t="n">
        <x:v>2.461538461538461e-7</x:v>
      </x:c>
      <x:c r="C134" s="142" t="n">
        <x:v>0.004538461538461538</x:v>
      </x:c>
      <x:c r="D134" s="160" t="n">
        <x:v>153</x:v>
      </x:c>
      <x:c r="E134" s="162" t="n">
        <x:v>87600.95398062293</x:v>
      </x:c>
      <x:c r="F134" s="162" t="n">
        <x:v>87600</x:v>
      </x:c>
      <x:c r="G134" s="144" t="n">
        <x:v>0.012654388632290396</x:v>
      </x:c>
      <x:c r="H134" s="144" t="n">
        <x:v>0.0631580627738796</x:v>
      </x:c>
      <x:c r="I134" s="137" t="str">
        <x:v>POSITIVE-MODEL-MARGIN</x:v>
      </x:c>
      <x:c r="J134" s="137" t="str">
        <x:v>V0.7-CONTROLLED-RESEARCH-SCREEN-NOT-DISTRIBUTION</x:v>
      </x:c>
    </x:row>
    <x:row r="135" ht="22" customHeight="1">
      <x:c r="A135" s="136" t="str">
        <x:v>SCR-0130</x:v>
      </x:c>
      <x:c r="B135" s="143" t="n">
        <x:v>2.461538461538461e-7</x:v>
      </x:c>
      <x:c r="C135" s="143" t="n">
        <x:v>0.004846153846153846</x:v>
      </x:c>
      <x:c r="D135" s="161" t="n">
        <x:v>153</x:v>
      </x:c>
      <x:c r="E135" s="163" t="n">
        <x:v>85413.36675208835</x:v>
      </x:c>
      <x:c r="F135" s="163" t="n">
        <x:v>85413</x:v>
      </x:c>
      <x:c r="G135" s="145" t="n">
        <x:v>0.012957041234675564</x:v>
      </x:c>
      <x:c r="H135" s="145" t="n">
        <x:v>0.06445712467714652</x:v>
      </x:c>
      <x:c r="I135" s="136" t="str">
        <x:v>POSITIVE-MODEL-MARGIN</x:v>
      </x:c>
      <x:c r="J135" s="136" t="str">
        <x:v>V0.7-CONTROLLED-RESEARCH-SCREEN-NOT-DISTRIBUTION</x:v>
      </x:c>
    </x:row>
    <x:row r="136" ht="22" customHeight="1">
      <x:c r="A136" s="137" t="str">
        <x:v>SCR-0131</x:v>
      </x:c>
      <x:c r="B136" s="142" t="n">
        <x:v>2.461538461538461e-7</x:v>
      </x:c>
      <x:c r="C136" s="142" t="n">
        <x:v>0.005</x:v>
      </x:c>
      <x:c r="D136" s="160" t="n">
        <x:v>151</x:v>
      </x:c>
      <x:c r="E136" s="162" t="n">
        <x:v>84326.7547600863</x:v>
      </x:c>
      <x:c r="F136" s="162" t="n">
        <x:v>84326</x:v>
      </x:c>
      <x:c r="G136" s="144" t="n">
        <x:v>0.013040878146434433</x:v>
      </x:c>
      <x:c r="H136" s="144" t="n">
        <x:v>0.0648989777247</x:v>
      </x:c>
      <x:c r="I136" s="137" t="str">
        <x:v>POSITIVE-MODEL-MARGIN</x:v>
      </x:c>
      <x:c r="J136" s="137" t="str">
        <x:v>V0.7-CONTROLLED-RESEARCH-SCREEN-NOT-DISTRIBUTION</x:v>
      </x:c>
    </x:row>
    <x:row r="137" ht="22" customHeight="1">
      <x:c r="A137" s="136" t="str">
        <x:v>SCR-0132</x:v>
      </x:c>
      <x:c r="B137" s="143" t="n">
        <x:v>2.461538461538461e-7</x:v>
      </x:c>
      <x:c r="C137" s="143" t="n">
        <x:v>0.005153846153846154</x:v>
      </x:c>
      <x:c r="D137" s="161" t="n">
        <x:v>151</x:v>
      </x:c>
      <x:c r="E137" s="163" t="n">
        <x:v>83244.1502195797</x:v>
      </x:c>
      <x:c r="F137" s="163" t="n">
        <x:v>83244</x:v>
      </x:c>
      <x:c r="G137" s="145" t="n">
        <x:v>0.013192225423360657</x:v>
      </x:c>
      <x:c r="H137" s="145" t="n">
        <x:v>0.06554797942290172</x:v>
      </x:c>
      <x:c r="I137" s="136" t="str">
        <x:v>POSITIVE-MODEL-MARGIN</x:v>
      </x:c>
      <x:c r="J137" s="136" t="str">
        <x:v>V0.7-CONTROLLED-RESEARCH-SCREEN-NOT-DISTRIBUTION</x:v>
      </x:c>
    </x:row>
    <x:row r="138" ht="22" customHeight="1">
      <x:c r="A138" s="137" t="str">
        <x:v>SCR-0133</x:v>
      </x:c>
      <x:c r="B138" s="142" t="n">
        <x:v>2.461538461538461e-7</x:v>
      </x:c>
      <x:c r="C138" s="142" t="n">
        <x:v>0.005461538461538462</x:v>
      </x:c>
      <x:c r="D138" s="160" t="n">
        <x:v>151</x:v>
      </x:c>
      <x:c r="E138" s="162" t="n">
        <x:v>81095.44103127156</x:v>
      </x:c>
      <x:c r="F138" s="162" t="n">
        <x:v>81095</x:v>
      </x:c>
      <x:c r="G138" s="144" t="n">
        <x:v>0.013494919977213103</x:v>
      </x:c>
      <x:c r="H138" s="144" t="n">
        <x:v>0.06684417138096137</x:v>
      </x:c>
      <x:c r="I138" s="137" t="str">
        <x:v>POSITIVE-MODEL-MARGIN</x:v>
      </x:c>
      <x:c r="J138" s="137" t="str">
        <x:v>V0.7-CONTROLLED-RESEARCH-SCREEN-NOT-DISTRIBUTION</x:v>
      </x:c>
    </x:row>
    <x:row r="139" ht="22" customHeight="1">
      <x:c r="A139" s="136" t="str">
        <x:v>SCR-0134</x:v>
      </x:c>
      <x:c r="B139" s="143" t="n">
        <x:v>2.461538461538461e-7</x:v>
      </x:c>
      <x:c r="C139" s="143" t="n">
        <x:v>0.0057692307692307696</x:v>
      </x:c>
      <x:c r="D139" s="161" t="n">
        <x:v>151</x:v>
      </x:c>
      <x:c r="E139" s="163" t="n">
        <x:v>78962.64199952688</x:v>
      </x:c>
      <x:c r="F139" s="163" t="n">
        <x:v>78962</x:v>
      </x:c>
      <x:c r="G139" s="145" t="n">
        <x:v>0.01379761453106555</x:v>
      </x:c>
      <x:c r="H139" s="145" t="n">
        <x:v>0.06813801260485168</x:v>
      </x:c>
      <x:c r="I139" s="136" t="str">
        <x:v>POSITIVE-MODEL-MARGIN</x:v>
      </x:c>
      <x:c r="J139" s="136" t="str">
        <x:v>V0.7-CONTROLLED-RESEARCH-SCREEN-NOT-DISTRIBUTION</x:v>
      </x:c>
    </x:row>
    <x:row r="140" ht="22" customHeight="1">
      <x:c r="A140" s="137" t="str">
        <x:v>SCR-0135</x:v>
      </x:c>
      <x:c r="B140" s="142" t="n">
        <x:v>2.461538461538461e-7</x:v>
      </x:c>
      <x:c r="C140" s="142" t="n">
        <x:v>0.006076923076923077</x:v>
      </x:c>
      <x:c r="D140" s="160" t="n">
        <x:v>150</x:v>
      </x:c>
      <x:c r="E140" s="162" t="n">
        <x:v>76846.14674528422</x:v>
      </x:c>
      <x:c r="F140" s="162" t="n">
        <x:v>76846</x:v>
      </x:c>
      <x:c r="G140" s="144" t="n">
        <x:v>0.01406666454567039</x:v>
      </x:c>
      <x:c r="H140" s="144" t="n">
        <x:v>0.06933085469203289</x:v>
      </x:c>
      <x:c r="I140" s="137" t="str">
        <x:v>POSITIVE-MODEL-MARGIN</x:v>
      </x:c>
      <x:c r="J140" s="137" t="str">
        <x:v>V0.7-CONTROLLED-RESEARCH-SCREEN-NOT-DISTRIBUTION</x:v>
      </x:c>
    </x:row>
    <x:row r="141" ht="22" customHeight="1">
      <x:c r="A141" s="136" t="str">
        <x:v>SCR-0136</x:v>
      </x:c>
      <x:c r="B141" s="143" t="n">
        <x:v>2.461538461538461e-7</x:v>
      </x:c>
      <x:c r="C141" s="143" t="n">
        <x:v>0.006384615384615384</x:v>
      </x:c>
      <x:c r="D141" s="161" t="n">
        <x:v>150</x:v>
      </x:c>
      <x:c r="E141" s="163" t="n">
        <x:v>74749.2431498826</x:v>
      </x:c>
      <x:c r="F141" s="163" t="n">
        <x:v>74749</x:v>
      </x:c>
      <x:c r="G141" s="145" t="n">
        <x:v>0.014369380058598374</x:v>
      </x:c>
      <x:c r="H141" s="145" t="n">
        <x:v>0.07062120872894069</x:v>
      </x:c>
      <x:c r="I141" s="136" t="str">
        <x:v>POSITIVE-MODEL-MARGIN</x:v>
      </x:c>
      <x:c r="J141" s="136" t="str">
        <x:v>V0.7-CONTROLLED-RESEARCH-SCREEN-NOT-DISTRIBUTION</x:v>
      </x:c>
    </x:row>
    <x:row r="142" ht="22" customHeight="1">
      <x:c r="A142" s="137" t="str">
        <x:v>SCR-0137</x:v>
      </x:c>
      <x:c r="B142" s="142" t="n">
        <x:v>2.461538461538461e-7</x:v>
      </x:c>
      <x:c r="C142" s="142" t="n">
        <x:v>0.006692307692307693</x:v>
      </x:c>
      <x:c r="D142" s="160" t="n">
        <x:v>149</x:v>
      </x:c>
      <x:c r="E142" s="162" t="n">
        <x:v>72667.72463076237</x:v>
      </x:c>
      <x:c r="F142" s="162" t="n">
        <x:v>72667</x:v>
      </x:c>
      <x:c r="G142" s="144" t="n">
        <x:v>0.014638539957287767</x:v>
      </x:c>
      <x:c r="H142" s="144" t="n">
        <x:v>0.07181375458363223</x:v>
      </x:c>
      <x:c r="I142" s="137" t="str">
        <x:v>POSITIVE-MODEL-MARGIN</x:v>
      </x:c>
      <x:c r="J142" s="137" t="str">
        <x:v>V0.7-CONTROLLED-RESEARCH-SCREEN-NOT-DISTRIBUTION</x:v>
      </x:c>
    </x:row>
    <x:row r="143" ht="22" customHeight="1">
      <x:c r="A143" s="136" t="str">
        <x:v>SCR-0138</x:v>
      </x:c>
      <x:c r="B143" s="143" t="n">
        <x:v>2.461538461538461e-7</x:v>
      </x:c>
      <x:c r="C143" s="143" t="n">
        <x:v>0.007</x:v>
      </x:c>
      <x:c r="D143" s="161" t="n">
        <x:v>147</x:v>
      </x:c>
      <x:c r="E143" s="163" t="n">
        <x:v>70604.95395152507</x:v>
      </x:c>
      <x:c r="F143" s="163" t="n">
        <x:v>70604</x:v>
      </x:c>
      <x:c r="G143" s="145" t="n">
        <x:v>0.014874291169174035</x:v>
      </x:c>
      <x:c r="H143" s="145" t="n">
        <x:v>0.07291437341514562</x:v>
      </x:c>
      <x:c r="I143" s="136" t="str">
        <x:v>POSITIVE-MODEL-MARGIN</x:v>
      </x:c>
      <x:c r="J143" s="136" t="str">
        <x:v>V0.7-CONTROLLED-RESEARCH-SCREEN-NOT-DISTRIBUTION</x:v>
      </x:c>
    </x:row>
    <x:row r="144" ht="22" customHeight="1">
      <x:c r="A144" s="137" t="str">
        <x:v>SCR-0139</x:v>
      </x:c>
      <x:c r="B144" s="142" t="n">
        <x:v>2.461538461538461e-7</x:v>
      </x:c>
      <x:c r="C144" s="142" t="n">
        <x:v>0.007307692307692308</x:v>
      </x:c>
      <x:c r="D144" s="160" t="n">
        <x:v>146</x:v>
      </x:c>
      <x:c r="E144" s="162" t="n">
        <x:v>68558.06338096672</x:v>
      </x:c>
      <x:c r="F144" s="162" t="n">
        <x:v>68558</x:v>
      </x:c>
      <x:c r="G144" s="144" t="n">
        <x:v>0.015143635360405238</x:v>
      </x:c>
      <x:c r="H144" s="144" t="n">
        <x:v>0.07411065756880718</x:v>
      </x:c>
      <x:c r="I144" s="137" t="str">
        <x:v>POSITIVE-MODEL-MARGIN</x:v>
      </x:c>
      <x:c r="J144" s="137" t="str">
        <x:v>V0.7-CONTROLLED-RESEARCH-SCREEN-NOT-DISTRIBUTION</x:v>
      </x:c>
    </x:row>
    <x:row r="145" ht="22" customHeight="1">
      <x:c r="A145" s="136" t="str">
        <x:v>SCR-0140</x:v>
      </x:c>
      <x:c r="B145" s="143" t="n">
        <x:v>2.461538461538461e-7</x:v>
      </x:c>
      <x:c r="C145" s="143" t="n">
        <x:v>0.007615384615384616</x:v>
      </x:c>
      <x:c r="D145" s="161" t="n">
        <x:v>146</x:v>
      </x:c>
      <x:c r="E145" s="163" t="n">
        <x:v>66527.11834986179</x:v>
      </x:c>
      <x:c r="F145" s="163" t="n">
        <x:v>66527</x:v>
      </x:c>
      <x:c r="G145" s="145" t="n">
        <x:v>0.01544643449007256</x:v>
      </x:c>
      <x:c r="H145" s="145" t="n">
        <x:v>0.07539676645963705</x:v>
      </x:c>
      <x:c r="I145" s="136" t="str">
        <x:v>POSITIVE-MODEL-MARGIN</x:v>
      </x:c>
      <x:c r="J145" s="136" t="str">
        <x:v>V0.7-CONTROLLED-RESEARCH-SCREEN-NOT-DISTRIBUTION</x:v>
      </x:c>
    </x:row>
    <x:row r="146" ht="22" customHeight="1">
      <x:c r="A146" s="137" t="str">
        <x:v>SCR-0141</x:v>
      </x:c>
      <x:c r="B146" s="142" t="n">
        <x:v>2.461538461538461e-7</x:v>
      </x:c>
      <x:c r="C146" s="142" t="n">
        <x:v>0.007923076923076923</x:v>
      </x:c>
      <x:c r="D146" s="160" t="n">
        <x:v>145</x:v>
      </x:c>
      <x:c r="E146" s="162" t="n">
        <x:v>64513.37748901215</x:v>
      </x:c>
      <x:c r="F146" s="162" t="n">
        <x:v>64513</x:v>
      </x:c>
      <x:c r="G146" s="144" t="n">
        <x:v>0.01571587922235297</x:v>
      </x:c>
      <x:c r="H146" s="144" t="n">
        <x:v>0.07659329352488423</x:v>
      </x:c>
      <x:c r="I146" s="137" t="str">
        <x:v>POSITIVE-MODEL-MARGIN</x:v>
      </x:c>
      <x:c r="J146" s="137" t="str">
        <x:v>V0.7-CONTROLLED-RESEARCH-SCREEN-NOT-DISTRIBUTION</x:v>
      </x:c>
    </x:row>
    <x:row r="147" ht="22" customHeight="1">
      <x:c r="A147" s="136" t="str">
        <x:v>SCR-0142</x:v>
      </x:c>
      <x:c r="B147" s="143" t="n">
        <x:v>2.461538461538461e-7</x:v>
      </x:c>
      <x:c r="C147" s="143" t="n">
        <x:v>0.00823076923076923</x:v>
      </x:c>
      <x:c r="D147" s="161" t="n">
        <x:v>145</x:v>
      </x:c>
      <x:c r="E147" s="163" t="n">
        <x:v>62510.68427267491</x:v>
      </x:c>
      <x:c r="F147" s="163" t="n">
        <x:v>62510</x:v>
      </x:c>
      <x:c r="G147" s="145" t="n">
        <x:v>0.016018699208305474</x:v>
      </x:c>
      <x:c r="H147" s="145" t="n">
        <x:v>0.07787657093310442</x:v>
      </x:c>
      <x:c r="I147" s="136" t="str">
        <x:v>POSITIVE-MODEL-MARGIN</x:v>
      </x:c>
      <x:c r="J147" s="136" t="str">
        <x:v>V0.7-CONTROLLED-RESEARCH-SCREEN-NOT-DISTRIBUTION</x:v>
      </x:c>
    </x:row>
    <x:row r="148" ht="22" customHeight="1">
      <x:c r="A148" s="137" t="str">
        <x:v>SCR-0143</x:v>
      </x:c>
      <x:c r="B148" s="142" t="n">
        <x:v>2.461538461538461e-7</x:v>
      </x:c>
      <x:c r="C148" s="142" t="n">
        <x:v>0.00853846153846154</x:v>
      </x:c>
      <x:c r="D148" s="160" t="n">
        <x:v>144</x:v>
      </x:c>
      <x:c r="E148" s="162" t="n">
        <x:v>60529.20164179573</x:v>
      </x:c>
      <x:c r="F148" s="162" t="n">
        <x:v>60529</x:v>
      </x:c>
      <x:c r="G148" s="144" t="n">
        <x:v>0.01628824202611751</x:v>
      </x:c>
      <x:c r="H148" s="144" t="n">
        <x:v>0.07907356677422765</x:v>
      </x:c>
      <x:c r="I148" s="137" t="str">
        <x:v>POSITIVE-MODEL-MARGIN</x:v>
      </x:c>
      <x:c r="J148" s="137" t="str">
        <x:v>V0.7-CONTROLLED-RESEARCH-SCREEN-NOT-DISTRIBUTION</x:v>
      </x:c>
    </x:row>
    <x:row r="149" ht="22" customHeight="1">
      <x:c r="A149" s="136" t="str">
        <x:v>SCR-0144</x:v>
      </x:c>
      <x:c r="B149" s="143" t="n">
        <x:v>2.461538461538461e-7</x:v>
      </x:c>
      <x:c r="C149" s="143" t="n">
        <x:v>0.008846153846153847</x:v>
      </x:c>
      <x:c r="D149" s="161" t="n">
        <x:v>142</x:v>
      </x:c>
      <x:c r="E149" s="163" t="n">
        <x:v>58562.52595337289</x:v>
      </x:c>
      <x:c r="F149" s="163" t="n">
        <x:v>58562</x:v>
      </x:c>
      <x:c r="G149" s="145" t="n">
        <x:v>0.01652466723772058</x:v>
      </x:c>
      <x:c r="H149" s="145" t="n">
        <x:v>0.08019094753924474</x:v>
      </x:c>
      <x:c r="I149" s="136" t="str">
        <x:v>POSITIVE-MODEL-MARGIN</x:v>
      </x:c>
      <x:c r="J149" s="136" t="str">
        <x:v>V0.7-CONTROLLED-RESEARCH-SCREEN-NOT-DISTRIBUTION</x:v>
      </x:c>
    </x:row>
    <x:row r="150" ht="22" customHeight="1">
      <x:c r="A150" s="137" t="str">
        <x:v>SCR-0145</x:v>
      </x:c>
      <x:c r="B150" s="142" t="n">
        <x:v>2.461538461538461e-7</x:v>
      </x:c>
      <x:c r="C150" s="142" t="n">
        <x:v>0.009153846153846155</x:v>
      </x:c>
      <x:c r="D150" s="160" t="n">
        <x:v>142</x:v>
      </x:c>
      <x:c r="E150" s="162" t="n">
        <x:v>56610.49173161087</x:v>
      </x:c>
      <x:c r="F150" s="162" t="n">
        <x:v>56610</x:v>
      </x:c>
      <x:c r="G150" s="144" t="n">
        <x:v>0.01682754966501524</x:v>
      </x:c>
      <x:c r="H150" s="144" t="n">
        <x:v>0.08147189312010054</x:v>
      </x:c>
      <x:c r="I150" s="137" t="str">
        <x:v>POSITIVE-MODEL-MARGIN</x:v>
      </x:c>
      <x:c r="J150" s="137" t="str">
        <x:v>V0.7-CONTROLLED-RESEARCH-SCREEN-NOT-DISTRIBUTION</x:v>
      </x:c>
    </x:row>
    <x:row r="151" ht="22" customHeight="1">
      <x:c r="A151" s="136" t="str">
        <x:v>SCR-0146</x:v>
      </x:c>
      <x:c r="B151" s="143" t="n">
        <x:v>2.461538461538461e-7</x:v>
      </x:c>
      <x:c r="C151" s="143" t="n">
        <x:v>0.009461538461538462</x:v>
      </x:c>
      <x:c r="D151" s="161" t="n">
        <x:v>141</x:v>
      </x:c>
      <x:c r="E151" s="163" t="n">
        <x:v>54673.017971557936</x:v>
      </x:c>
      <x:c r="F151" s="163" t="n">
        <x:v>54673</x:v>
      </x:c>
      <x:c r="G151" s="145" t="n">
        <x:v>0.017097309615602976</x:v>
      </x:c>
      <x:c r="H151" s="145" t="n">
        <x:v>0.08267337017730081</x:v>
      </x:c>
      <x:c r="I151" s="136" t="str">
        <x:v>POSITIVE-MODEL-MARGIN</x:v>
      </x:c>
      <x:c r="J151" s="136" t="str">
        <x:v>V0.7-CONTROLLED-RESEARCH-SCREEN-NOT-DISTRIBUTION</x:v>
      </x:c>
    </x:row>
    <x:row r="152" ht="22" customHeight="1">
      <x:c r="A152" s="137" t="str">
        <x:v>SCR-0147</x:v>
      </x:c>
      <x:c r="B152" s="142" t="n">
        <x:v>2.461538461538461e-7</x:v>
      </x:c>
      <x:c r="C152" s="142" t="n">
        <x:v>0.00976923076923077</x:v>
      </x:c>
      <x:c r="D152" s="160" t="n">
        <x:v>140</x:v>
      </x:c>
      <x:c r="E152" s="162" t="n">
        <x:v>52750.10634184506</x:v>
      </x:c>
      <x:c r="F152" s="162" t="n">
        <x:v>52750</x:v>
      </x:c>
      <x:c r="G152" s="144" t="n">
        <x:v>0.017367183693260412</x:v>
      </x:c>
      <x:c r="H152" s="144" t="n">
        <x:v>0.08387696326654975</x:v>
      </x:c>
      <x:c r="I152" s="137" t="str">
        <x:v>POSITIVE-MODEL-MARGIN</x:v>
      </x:c>
      <x:c r="J152" s="137" t="str">
        <x:v>V0.7-CONTROLLED-RESEARCH-SCREEN-NOT-DISTRIBUTION</x:v>
      </x:c>
    </x:row>
    <x:row r="153" ht="22" customHeight="1">
      <x:c r="A153" s="136" t="str">
        <x:v>SCR-0148</x:v>
      </x:c>
      <x:c r="B153" s="143" t="n">
        <x:v>2.461538461538461e-7</x:v>
      </x:c>
      <x:c r="C153" s="143" t="n">
        <x:v>0.010076923076923077</x:v>
      </x:c>
      <x:c r="D153" s="161" t="n">
        <x:v>140</x:v>
      </x:c>
      <x:c r="E153" s="163" t="n">
        <x:v>50841.41218357764</x:v>
      </x:c>
      <x:c r="F153" s="163" t="n">
        <x:v>50841</x:v>
      </x:c>
      <x:c r="G153" s="145" t="n">
        <x:v>0.01767010762744951</x:v>
      </x:c>
      <x:c r="H153" s="145" t="n">
        <x:v>0.08515492351409791</x:v>
      </x:c>
      <x:c r="I153" s="136" t="str">
        <x:v>POSITIVE-MODEL-MARGIN</x:v>
      </x:c>
      <x:c r="J153" s="136" t="str">
        <x:v>V0.7-CONTROLLED-RESEARCH-SCREEN-NOT-DISTRIBUTION</x:v>
      </x:c>
    </x:row>
    <x:row r="154" ht="22" customHeight="1">
      <x:c r="A154" s="137" t="str">
        <x:v>SCR-0149</x:v>
      </x:c>
      <x:c r="B154" s="142" t="n">
        <x:v>2.461538461538461e-7</x:v>
      </x:c>
      <x:c r="C154" s="142" t="n">
        <x:v>0.010384615384615384</x:v>
      </x:c>
      <x:c r="D154" s="160" t="n">
        <x:v>138</x:v>
      </x:c>
      <x:c r="E154" s="162" t="n">
        <x:v>48947.18219612957</x:v>
      </x:c>
      <x:c r="F154" s="162" t="n">
        <x:v>48947</x:v>
      </x:c>
      <x:c r="G154" s="144" t="n">
        <x:v>0.017907123646746115</x:v>
      </x:c>
      <x:c r="H154" s="144" t="n">
        <x:v>0.0862893831574132</x:v>
      </x:c>
      <x:c r="I154" s="137" t="str">
        <x:v>POSITIVE-MODEL-MARGIN</x:v>
      </x:c>
      <x:c r="J154" s="137" t="str">
        <x:v>V0.7-CONTROLLED-RESEARCH-SCREEN-NOT-DISTRIBUTION</x:v>
      </x:c>
    </x:row>
    <x:row r="155" ht="22" customHeight="1">
      <x:c r="A155" s="136" t="str">
        <x:v>SCR-0150</x:v>
      </x:c>
      <x:c r="B155" s="143" t="n">
        <x:v>2.461538461538461e-7</x:v>
      </x:c>
      <x:c r="C155" s="143" t="n">
        <x:v>0.010692307692307692</x:v>
      </x:c>
      <x:c r="D155" s="161" t="n">
        <x:v>138</x:v>
      </x:c>
      <x:c r="E155" s="163" t="n">
        <x:v>47068.715221073835</x:v>
      </x:c>
      <x:c r="F155" s="163" t="n">
        <x:v>47068</x:v>
      </x:c>
      <x:c r="G155" s="145" t="n">
        <x:v>0.018210088999912763</x:v>
      </x:c>
      <x:c r="H155" s="145" t="n">
        <x:v>0.08756627872791806</x:v>
      </x:c>
      <x:c r="I155" s="136" t="str">
        <x:v>POSITIVE-MODEL-MARGIN</x:v>
      </x:c>
      <x:c r="J155" s="136" t="str">
        <x:v>V0.7-CONTROLLED-RESEARCH-SCREEN-NOT-DISTRIBUTION</x:v>
      </x:c>
    </x:row>
    <x:row r="156" ht="22" customHeight="1">
      <x:c r="A156" s="137" t="str">
        <x:v>SCR-0151</x:v>
      </x:c>
      <x:c r="B156" s="142" t="n">
        <x:v>2.461538461538461e-7</x:v>
      </x:c>
      <x:c r="C156" s="142" t="n">
        <x:v>0.011</x:v>
      </x:c>
      <x:c r="D156" s="160" t="n">
        <x:v>136</x:v>
      </x:c>
      <x:c r="E156" s="162" t="n">
        <x:v>45206.38851667962</x:v>
      </x:c>
      <x:c r="F156" s="162" t="n">
        <x:v>45206</x:v>
      </x:c>
      <x:c r="G156" s="144" t="n">
        <x:v>0.018447394986504956</x:v>
      </x:c>
      <x:c r="H156" s="144" t="n">
        <x:v>0.08871025094100812</x:v>
      </x:c>
      <x:c r="I156" s="137" t="str">
        <x:v>POSITIVE-MODEL-MARGIN</x:v>
      </x:c>
      <x:c r="J156" s="137" t="str">
        <x:v>V0.7-CONTROLLED-RESEARCH-SCREEN-NOT-DISTRIBUTION</x:v>
      </x:c>
    </x:row>
    <x:row r="157" ht="22" customHeight="1">
      <x:c r="A157" s="136" t="str">
        <x:v>SCR-0152</x:v>
      </x:c>
      <x:c r="B157" s="143" t="n">
        <x:v>2.461538461538461e-7</x:v>
      </x:c>
      <x:c r="C157" s="143" t="n">
        <x:v>0.011307692307692307</x:v>
      </x:c>
      <x:c r="D157" s="161" t="n">
        <x:v>136</x:v>
      </x:c>
      <x:c r="E157" s="163" t="n">
        <x:v>43357.466651869945</x:v>
      </x:c>
      <x:c r="F157" s="163" t="n">
        <x:v>43357</x:v>
      </x:c>
      <x:c r="G157" s="145" t="n">
        <x:v>0.018750401654379554</x:v>
      </x:c>
      <x:c r="H157" s="145" t="n">
        <x:v>0.08998625647494896</x:v>
      </x:c>
      <x:c r="I157" s="136" t="str">
        <x:v>POSITIVE-MODEL-MARGIN</x:v>
      </x:c>
      <x:c r="J157" s="136" t="str">
        <x:v>V0.7-CONTROLLED-RESEARCH-SCREEN-NOT-DISTRIBUTION</x:v>
      </x:c>
    </x:row>
    <x:row r="158" ht="22" customHeight="1">
      <x:c r="A158" s="137" t="str">
        <x:v>SCR-0153</x:v>
      </x:c>
      <x:c r="B158" s="142" t="n">
        <x:v>2.461538461538461e-7</x:v>
      </x:c>
      <x:c r="C158" s="142" t="n">
        <x:v>0.011615384615384614</x:v>
      </x:c>
      <x:c r="D158" s="160" t="n">
        <x:v>135</x:v>
      </x:c>
      <x:c r="E158" s="162" t="n">
        <x:v>41522.06054477307</x:v>
      </x:c>
      <x:c r="F158" s="162" t="n">
        <x:v>41522</x:v>
      </x:c>
      <x:c r="G158" s="144" t="n">
        <x:v>0.019020686954193143</x:v>
      </x:c>
      <x:c r="H158" s="144" t="n">
        <x:v>0.09119979959548992</x:v>
      </x:c>
      <x:c r="I158" s="137" t="str">
        <x:v>POSITIVE-MODEL-MARGIN</x:v>
      </x:c>
      <x:c r="J158" s="137" t="str">
        <x:v>V0.7-CONTROLLED-RESEARCH-SCREEN-NOT-DISTRIBUTION</x:v>
      </x:c>
    </x:row>
    <x:row r="159" ht="22" customHeight="1">
      <x:c r="A159" s="136" t="str">
        <x:v>SCR-0154</x:v>
      </x:c>
      <x:c r="B159" s="143" t="n">
        <x:v>2.461538461538461e-7</x:v>
      </x:c>
      <x:c r="C159" s="143" t="n">
        <x:v>0.011923076923076925</x:v>
      </x:c>
      <x:c r="D159" s="161" t="n">
        <x:v>134</x:v>
      </x:c>
      <x:c r="E159" s="163" t="n">
        <x:v>39699.063069076416</x:v>
      </x:c>
      <x:c r="F159" s="163" t="n">
        <x:v>39699</x:v>
      </x:c>
      <x:c r="G159" s="145" t="n">
        <x:v>0.01929102395833992</x:v>
      </x:c>
      <x:c r="H159" s="145" t="n">
        <x:v>0.09241548410586016</x:v>
      </x:c>
      <x:c r="I159" s="136" t="str">
        <x:v>POSITIVE-MODEL-MARGIN</x:v>
      </x:c>
      <x:c r="J159" s="136" t="str">
        <x:v>V0.7-CONTROLLED-RESEARCH-SCREEN-NOT-DISTRIBUTION</x:v>
      </x:c>
    </x:row>
    <x:row r="160" ht="22" customHeight="1">
      <x:c r="A160" s="137" t="str">
        <x:v>SCR-0155</x:v>
      </x:c>
      <x:c r="B160" s="142" t="n">
        <x:v>2.461538461538461e-7</x:v>
      </x:c>
      <x:c r="C160" s="142" t="n">
        <x:v>0.012230769230769233</x:v>
      </x:c>
      <x:c r="D160" s="160" t="n">
        <x:v>133</x:v>
      </x:c>
      <x:c r="E160" s="162" t="n">
        <x:v>37893.80102749654</x:v>
      </x:c>
      <x:c r="F160" s="162" t="n">
        <x:v>37893</x:v>
      </x:c>
      <x:c r="G160" s="144" t="n">
        <x:v>0.01956145583744659</x:v>
      </x:c>
      <x:c r="H160" s="144" t="n">
        <x:v>0.09363389173500064</x:v>
      </x:c>
      <x:c r="I160" s="137" t="str">
        <x:v>POSITIVE-MODEL-MARGIN</x:v>
      </x:c>
      <x:c r="J160" s="137" t="str">
        <x:v>V0.7-CONTROLLED-RESEARCH-SCREEN-NOT-DISTRIBUTION</x:v>
      </x:c>
    </x:row>
    <x:row r="161" ht="22" customHeight="1">
      <x:c r="A161" s="136" t="str">
        <x:v>SCR-0156</x:v>
      </x:c>
      <x:c r="B161" s="143" t="n">
        <x:v>2.461538461538461e-7</x:v>
      </x:c>
      <x:c r="C161" s="143" t="n">
        <x:v>0.01253846153846154</x:v>
      </x:c>
      <x:c r="D161" s="161" t="n">
        <x:v>132</x:v>
      </x:c>
      <x:c r="E161" s="163" t="n">
        <x:v>36098.374458354556</x:v>
      </x:c>
      <x:c r="F161" s="163" t="n">
        <x:v>36098</x:v>
      </x:c>
      <x:c r="G161" s="145" t="n">
        <x:v>0.019831979651115262</x:v>
      </x:c>
      <x:c r="H161" s="145" t="n">
        <x:v>0.09485510921528889</x:v>
      </x:c>
      <x:c r="I161" s="136" t="str">
        <x:v>POSITIVE-MODEL-MARGIN</x:v>
      </x:c>
      <x:c r="J161" s="136" t="str">
        <x:v>V0.7-CONTROLLED-RESEARCH-SCREEN-NOT-DISTRIBUTION</x:v>
      </x:c>
    </x:row>
    <x:row r="162" ht="22" customHeight="1">
      <x:c r="A162" s="137" t="str">
        <x:v>SCR-0157</x:v>
      </x:c>
      <x:c r="B162" s="142" t="n">
        <x:v>2.461538461538461e-7</x:v>
      </x:c>
      <x:c r="C162" s="142" t="n">
        <x:v>0.012846153846153847</x:v>
      </x:c>
      <x:c r="D162" s="160" t="n">
        <x:v>131</x:v>
      </x:c>
      <x:c r="E162" s="162" t="n">
        <x:v>34320.54510834895</x:v>
      </x:c>
      <x:c r="F162" s="162" t="n">
        <x:v>34320</x:v>
      </x:c>
      <x:c r="G162" s="144" t="n">
        <x:v>0.020102592445217147</x:v>
      </x:c>
      <x:c r="H162" s="144" t="n">
        <x:v>0.09607922416820144</x:v>
      </x:c>
      <x:c r="I162" s="137" t="str">
        <x:v>POSITIVE-MODEL-MARGIN</x:v>
      </x:c>
      <x:c r="J162" s="137" t="str">
        <x:v>V0.7-CONTROLLED-RESEARCH-SCREEN-NOT-DISTRIBUTION</x:v>
      </x:c>
    </x:row>
    <x:row r="163" ht="22" customHeight="1">
      <x:c r="A163" s="136" t="str">
        <x:v>SCR-0158</x:v>
      </x:c>
      <x:c r="B163" s="143" t="n">
        <x:v>2.461538461538461e-7</x:v>
      </x:c>
      <x:c r="C163" s="143" t="n">
        <x:v>0.013153846153846155</x:v>
      </x:c>
      <x:c r="D163" s="161" t="n">
        <x:v>130</x:v>
      </x:c>
      <x:c r="E163" s="163" t="n">
        <x:v>32556.34901860505</x:v>
      </x:c>
      <x:c r="F163" s="163" t="n">
        <x:v>32556</x:v>
      </x:c>
      <x:c r="G163" s="145" t="n">
        <x:v>0.020373291250708206</x:v>
      </x:c>
      <x:c r="H163" s="145" t="n">
        <x:v>0.09730632518252164</x:v>
      </x:c>
      <x:c r="I163" s="136" t="str">
        <x:v>POSITIVE-MODEL-MARGIN</x:v>
      </x:c>
      <x:c r="J163" s="136" t="str">
        <x:v>V0.7-CONTROLLED-RESEARCH-SCREEN-NOT-DISTRIBUTION</x:v>
      </x:c>
    </x:row>
    <x:row r="164" ht="22" customHeight="1">
      <x:c r="A164" s="137" t="str">
        <x:v>SCR-0159</x:v>
      </x:c>
      <x:c r="B164" s="142" t="n">
        <x:v>2.461538461538461e-7</x:v>
      </x:c>
      <x:c r="C164" s="142" t="n">
        <x:v>0.013461538461538462</x:v>
      </x:c>
      <x:c r="D164" s="160" t="n">
        <x:v>128</x:v>
      </x:c>
      <x:c r="E164" s="162" t="n">
        <x:v>30805.193153079617</x:v>
      </x:c>
      <x:c r="F164" s="162" t="n">
        <x:v>30805</x:v>
      </x:c>
      <x:c r="G164" s="144" t="n">
        <x:v>0.02061176404261989</x:v>
      </x:c>
      <x:c r="H164" s="144" t="n">
        <x:v>0.09849573226249117</x:v>
      </x:c>
      <x:c r="I164" s="137" t="str">
        <x:v>POSITIVE-MODEL-MARGIN</x:v>
      </x:c>
      <x:c r="J164" s="137" t="str">
        <x:v>V0.7-CONTROLLED-RESEARCH-SCREEN-NOT-DISTRIBUTION</x:v>
      </x:c>
    </x:row>
    <x:row r="165" ht="22" customHeight="1">
      <x:c r="A165" s="136" t="str">
        <x:v>SCR-0160</x:v>
      </x:c>
      <x:c r="B165" s="143" t="n">
        <x:v>2.461538461538461e-7</x:v>
      </x:c>
      <x:c r="C165" s="143" t="n">
        <x:v>0.01376923076923077</x:v>
      </x:c>
      <x:c r="D165" s="161" t="n">
        <x:v>128</x:v>
      </x:c>
      <x:c r="E165" s="163" t="n">
        <x:v>29068.674733793658</x:v>
      </x:c>
      <x:c r="F165" s="163" t="n">
        <x:v>29068</x:v>
      </x:c>
      <x:c r="G165" s="145" t="n">
        <x:v>0.02091493493779457</x:v>
      </x:c>
      <x:c r="H165" s="145" t="n">
        <x:v>0.09976984505672788</x:v>
      </x:c>
      <x:c r="I165" s="136" t="str">
        <x:v>POSITIVE-MODEL-MARGIN</x:v>
      </x:c>
      <x:c r="J165" s="136" t="str">
        <x:v>V0.7-CONTROLLED-RESEARCH-SCREEN-NOT-DISTRIBUTION</x:v>
      </x:c>
    </x:row>
    <x:row r="166" ht="22" customHeight="1">
      <x:c r="A166" s="137" t="str">
        <x:v>SCR-0161</x:v>
      </x:c>
      <x:c r="B166" s="142" t="n">
        <x:v>2.461538461538461e-7</x:v>
      </x:c>
      <x:c r="C166" s="142" t="n">
        <x:v>0.014076923076923077</x:v>
      </x:c>
      <x:c r="D166" s="160" t="n">
        <x:v>126</x:v>
      </x:c>
      <x:c r="E166" s="162" t="n">
        <x:v>27342.347550660143</x:v>
      </x:c>
      <x:c r="F166" s="162" t="n">
        <x:v>27342</x:v>
      </x:c>
      <x:c r="G166" s="144" t="n">
        <x:v>0.021153719858221776</x:v>
      </x:c>
      <x:c r="H166" s="144" t="n">
        <x:v>0.10097289313539412</x:v>
      </x:c>
      <x:c r="I166" s="137" t="str">
        <x:v>POSITIVE-MODEL-MARGIN</x:v>
      </x:c>
      <x:c r="J166" s="137" t="str">
        <x:v>V0.7-CONTROLLED-RESEARCH-SCREEN-NOT-DISTRIBUTION</x:v>
      </x:c>
    </x:row>
    <x:row r="167" ht="22" customHeight="1">
      <x:c r="A167" s="136" t="str">
        <x:v>SCR-0162</x:v>
      </x:c>
      <x:c r="B167" s="143" t="n">
        <x:v>2.461538461538461e-7</x:v>
      </x:c>
      <x:c r="C167" s="143" t="n">
        <x:v>0.014384615384615385</x:v>
      </x:c>
      <x:c r="D167" s="161" t="n">
        <x:v>125</x:v>
      </x:c>
      <x:c r="E167" s="163" t="n">
        <x:v>25635.83999334257</x:v>
      </x:c>
      <x:c r="F167" s="163" t="n">
        <x:v>25635</x:v>
      </x:c>
      <x:c r="G167" s="145" t="n">
        <x:v>0.02142482792149276</x:v>
      </x:c>
      <x:c r="H167" s="145" t="n">
        <x:v>0.10221681578093675</x:v>
      </x:c>
      <x:c r="I167" s="136" t="str">
        <x:v>POSITIVE-MODEL-MARGIN</x:v>
      </x:c>
      <x:c r="J167" s="136" t="str">
        <x:v>V0.7-CONTROLLED-RESEARCH-SCREEN-NOT-DISTRIBUTION</x:v>
      </x:c>
    </x:row>
    <x:row r="168" ht="22" customHeight="1">
      <x:c r="A168" s="137" t="str">
        <x:v>SCR-0163</x:v>
      </x:c>
      <x:c r="B168" s="142" t="n">
        <x:v>2.461538461538461e-7</x:v>
      </x:c>
      <x:c r="C168" s="142" t="n">
        <x:v>0.014692307692307692</x:v>
      </x:c>
      <x:c r="D168" s="160" t="n">
        <x:v>124</x:v>
      </x:c>
      <x:c r="E168" s="162" t="n">
        <x:v>23942.829074203608</x:v>
      </x:c>
      <x:c r="F168" s="162" t="n">
        <x:v>23942</x:v>
      </x:c>
      <x:c r="G168" s="144" t="n">
        <x:v>0.021696003597540422</x:v>
      </x:c>
      <x:c r="H168" s="144" t="n">
        <x:v>0.10346425221391195</x:v>
      </x:c>
      <x:c r="I168" s="137" t="str">
        <x:v>POSITIVE-MODEL-MARGIN</x:v>
      </x:c>
      <x:c r="J168" s="137" t="str">
        <x:v>V0.7-CONTROLLED-RESEARCH-SCREEN-NOT-DISTRIBUTION</x:v>
      </x:c>
    </x:row>
    <x:row r="169" ht="22" customHeight="1">
      <x:c r="A169" s="136" t="str">
        <x:v>SCR-0164</x:v>
      </x:c>
      <x:c r="B169" s="143" t="n">
        <x:v>2.461538461538461e-7</x:v>
      </x:c>
      <x:c r="C169" s="143" t="n">
        <x:v>0.015</x:v>
      </x:c>
      <x:c r="D169" s="161" t="n">
        <x:v>124</x:v>
      </x:c>
      <x:c r="E169" s="163" t="n">
        <x:v>22259.532731768402</x:v>
      </x:c>
      <x:c r="F169" s="163" t="n">
        <x:v>22259</x:v>
      </x:c>
      <x:c r="G169" s="145" t="n">
        <x:v>0.021999255928182478</x:v>
      </x:c>
      <x:c r="H169" s="145" t="n">
        <x:v>0.10473839564483496</x:v>
      </x:c>
      <x:c r="I169" s="136" t="str">
        <x:v>POSITIVE-MODEL-MARGIN</x:v>
      </x:c>
      <x:c r="J169" s="136" t="str">
        <x:v>V0.7-CONTROLLED-RESEARCH-SCREEN-NOT-DISTRIBUTION</x:v>
      </x:c>
    </x:row>
    <x:row r="170" ht="22" customHeight="1">
      <x:c r="A170" s="137" t="str">
        <x:v>SCR-0165</x:v>
      </x:c>
      <x:c r="B170" s="142" t="n">
        <x:v>2.948717948717949e-7</x:v>
      </x:c>
      <x:c r="C170" s="142" t="n">
        <x:v>0.003</x:v>
      </x:c>
      <x:c r="D170" s="160" t="n">
        <x:v>142</x:v>
      </x:c>
      <x:c r="E170" s="162" t="n">
        <x:v>88055.07471765109</x:v>
      </x:c>
      <x:c r="F170" s="162" t="n">
        <x:v>88055</x:v>
      </x:c>
      <x:c r="G170" s="144" t="n">
        <x:v>0.012184144566284298</x:v>
      </x:c>
      <x:c r="H170" s="144" t="n">
        <x:v>0.06232310074538968</x:v>
      </x:c>
      <x:c r="I170" s="137" t="str">
        <x:v>POSITIVE-MODEL-MARGIN</x:v>
      </x:c>
      <x:c r="J170" s="137" t="str">
        <x:v>V0.7-CONTROLLED-RESEARCH-SCREEN-NOT-DISTRIBUTION</x:v>
      </x:c>
    </x:row>
    <x:row r="171" ht="22" customHeight="1">
      <x:c r="A171" s="136" t="str">
        <x:v>SCR-0166</x:v>
      </x:c>
      <x:c r="B171" s="143" t="n">
        <x:v>2.948717948717949e-7</x:v>
      </x:c>
      <x:c r="C171" s="143" t="n">
        <x:v>0.003307692307692308</x:v>
      </x:c>
      <x:c r="D171" s="161" t="n">
        <x:v>141</x:v>
      </x:c>
      <x:c r="E171" s="163" t="n">
        <x:v>85887.11817999823</x:v>
      </x:c>
      <x:c r="F171" s="163" t="n">
        <x:v>85887</x:v>
      </x:c>
      <x:c r="G171" s="145" t="n">
        <x:v>0.012446207138748326</x:v>
      </x:c>
      <x:c r="H171" s="145" t="n">
        <x:v>0.06352266803804961</x:v>
      </x:c>
      <x:c r="I171" s="136" t="str">
        <x:v>POSITIVE-MODEL-MARGIN</x:v>
      </x:c>
      <x:c r="J171" s="136" t="str">
        <x:v>V0.7-CONTROLLED-RESEARCH-SCREEN-NOT-DISTRIBUTION</x:v>
      </x:c>
    </x:row>
    <x:row r="172" ht="22" customHeight="1">
      <x:c r="A172" s="137" t="str">
        <x:v>SCR-0167</x:v>
      </x:c>
      <x:c r="B172" s="142" t="n">
        <x:v>2.948717948717949e-7</x:v>
      </x:c>
      <x:c r="C172" s="142" t="n">
        <x:v>0.0036153846153846154</x:v>
      </x:c>
      <x:c r="D172" s="160" t="n">
        <x:v>141</x:v>
      </x:c>
      <x:c r="E172" s="162" t="n">
        <x:v>83734.94543625272</x:v>
      </x:c>
      <x:c r="F172" s="162" t="n">
        <x:v>83734</x:v>
      </x:c>
      <x:c r="G172" s="144" t="n">
        <x:v>0.01274823878304679</x:v>
      </x:c>
      <x:c r="H172" s="144" t="n">
        <x:v>0.06484506300541656</x:v>
      </x:c>
      <x:c r="I172" s="137" t="str">
        <x:v>POSITIVE-MODEL-MARGIN</x:v>
      </x:c>
      <x:c r="J172" s="137" t="str">
        <x:v>V0.7-CONTROLLED-RESEARCH-SCREEN-NOT-DISTRIBUTION</x:v>
      </x:c>
    </x:row>
    <x:row r="173" ht="22" customHeight="1">
      <x:c r="A173" s="136" t="str">
        <x:v>SCR-0168</x:v>
      </x:c>
      <x:c r="B173" s="143" t="n">
        <x:v>2.948717948717949e-7</x:v>
      </x:c>
      <x:c r="C173" s="143" t="n">
        <x:v>0.003923076923076923</x:v>
      </x:c>
      <x:c r="D173" s="161" t="n">
        <x:v>141</x:v>
      </x:c>
      <x:c r="E173" s="163" t="n">
        <x:v>81603.78639814988</x:v>
      </x:c>
      <x:c r="F173" s="163" t="n">
        <x:v>81603</x:v>
      </x:c>
      <x:c r="G173" s="145" t="n">
        <x:v>0.013050270427345254</x:v>
      </x:c>
      <x:c r="H173" s="145" t="n">
        <x:v>0.06616484752304617</x:v>
      </x:c>
      <x:c r="I173" s="136" t="str">
        <x:v>POSITIVE-MODEL-MARGIN</x:v>
      </x:c>
      <x:c r="J173" s="136" t="str">
        <x:v>V0.7-CONTROLLED-RESEARCH-SCREEN-NOT-DISTRIBUTION</x:v>
      </x:c>
    </x:row>
    <x:row r="174" ht="22" customHeight="1">
      <x:c r="A174" s="137" t="str">
        <x:v>SCR-0169</x:v>
      </x:c>
      <x:c r="B174" s="142" t="n">
        <x:v>2.948717948717949e-7</x:v>
      </x:c>
      <x:c r="C174" s="142" t="n">
        <x:v>0.004230769230769231</x:v>
      </x:c>
      <x:c r="D174" s="160" t="n">
        <x:v>139</x:v>
      </x:c>
      <x:c r="E174" s="162" t="n">
        <x:v>79487.58889323736</x:v>
      </x:c>
      <x:c r="F174" s="162" t="n">
        <x:v>79487</x:v>
      </x:c>
      <x:c r="G174" s="144" t="n">
        <x:v>0.013272761616263302</x:v>
      </x:c>
      <x:c r="H174" s="144" t="n">
        <x:v>0.06724236931308923</x:v>
      </x:c>
      <x:c r="I174" s="137" t="str">
        <x:v>POSITIVE-MODEL-MARGIN</x:v>
      </x:c>
      <x:c r="J174" s="137" t="str">
        <x:v>V0.7-CONTROLLED-RESEARCH-SCREEN-NOT-DISTRIBUTION</x:v>
      </x:c>
    </x:row>
    <x:row r="175" ht="22" customHeight="1">
      <x:c r="A175" s="136" t="str">
        <x:v>SCR-0170</x:v>
      </x:c>
      <x:c r="B175" s="143" t="n">
        <x:v>2.948717948717949e-7</x:v>
      </x:c>
      <x:c r="C175" s="143" t="n">
        <x:v>0.004538461538461538</x:v>
      </x:c>
      <x:c r="D175" s="161" t="n">
        <x:v>138</x:v>
      </x:c>
      <x:c r="E175" s="163" t="n">
        <x:v>77391.9488029536</x:v>
      </x:c>
      <x:c r="F175" s="163" t="n">
        <x:v>77391</x:v>
      </x:c>
      <x:c r="G175" s="145" t="n">
        <x:v>0.013535134656668484</x:v>
      </x:c>
      <x:c r="H175" s="145" t="n">
        <x:v>0.06844220498862612</x:v>
      </x:c>
      <x:c r="I175" s="136" t="str">
        <x:v>POSITIVE-MODEL-MARGIN</x:v>
      </x:c>
      <x:c r="J175" s="136" t="str">
        <x:v>V0.7-CONTROLLED-RESEARCH-SCREEN-NOT-DISTRIBUTION</x:v>
      </x:c>
    </x:row>
    <x:row r="176" ht="22" customHeight="1">
      <x:c r="A176" s="137" t="str">
        <x:v>SCR-0171</x:v>
      </x:c>
      <x:c r="B176" s="142" t="n">
        <x:v>2.948717948717949e-7</x:v>
      </x:c>
      <x:c r="C176" s="142" t="n">
        <x:v>0.004846153846153846</x:v>
      </x:c>
      <x:c r="D176" s="160" t="n">
        <x:v>138</x:v>
      </x:c>
      <x:c r="E176" s="162" t="n">
        <x:v>75315.52658738835</x:v>
      </x:c>
      <x:c r="F176" s="162" t="n">
        <x:v>75315</x:v>
      </x:c>
      <x:c r="G176" s="144" t="n">
        <x:v>0.013837240326199192</x:v>
      </x:c>
      <x:c r="H176" s="144" t="n">
        <x:v>0.06975845119625837</x:v>
      </x:c>
      <x:c r="I176" s="137" t="str">
        <x:v>POSITIVE-MODEL-MARGIN</x:v>
      </x:c>
      <x:c r="J176" s="137" t="str">
        <x:v>V0.7-CONTROLLED-RESEARCH-SCREEN-NOT-DISTRIBUTION</x:v>
      </x:c>
    </x:row>
    <x:row r="177" ht="22" customHeight="1">
      <x:c r="A177" s="136" t="str">
        <x:v>SCR-0172</x:v>
      </x:c>
      <x:c r="B177" s="143" t="n">
        <x:v>2.948717948717949e-7</x:v>
      </x:c>
      <x:c r="C177" s="143" t="n">
        <x:v>0.005</x:v>
      </x:c>
      <x:c r="D177" s="161" t="n">
        <x:v>138</x:v>
      </x:c>
      <x:c r="E177" s="163" t="n">
        <x:v>74283.028249666</x:v>
      </x:c>
      <x:c r="F177" s="163" t="n">
        <x:v>74283</x:v>
      </x:c>
      <x:c r="G177" s="145" t="n">
        <x:v>0.013988293160964544</x:v>
      </x:c>
      <x:c r="H177" s="145" t="n">
        <x:v>0.07041569456598526</x:v>
      </x:c>
      <x:c r="I177" s="136" t="str">
        <x:v>POSITIVE-MODEL-MARGIN</x:v>
      </x:c>
      <x:c r="J177" s="136" t="str">
        <x:v>V0.7-CONTROLLED-RESEARCH-SCREEN-NOT-DISTRIBUTION</x:v>
      </x:c>
    </x:row>
    <x:row r="178" ht="22" customHeight="1">
      <x:c r="A178" s="137" t="str">
        <x:v>SCR-0173</x:v>
      </x:c>
      <x:c r="B178" s="142" t="n">
        <x:v>2.948717948717949e-7</x:v>
      </x:c>
      <x:c r="C178" s="142" t="n">
        <x:v>0.005153846153846154</x:v>
      </x:c>
      <x:c r="D178" s="160" t="n">
        <x:v>138</x:v>
      </x:c>
      <x:c r="E178" s="162" t="n">
        <x:v>73254.28032996265</x:v>
      </x:c>
      <x:c r="F178" s="162" t="n">
        <x:v>73254</x:v>
      </x:c>
      <x:c r="G178" s="144" t="n">
        <x:v>0.014139345995729895</x:v>
      </x:c>
      <x:c r="H178" s="144" t="n">
        <x:v>0.07107236354193729</x:v>
      </x:c>
      <x:c r="I178" s="137" t="str">
        <x:v>POSITIVE-MODEL-MARGIN</x:v>
      </x:c>
      <x:c r="J178" s="137" t="str">
        <x:v>V0.7-CONTROLLED-RESEARCH-SCREEN-NOT-DISTRIBUTION</x:v>
      </x:c>
    </x:row>
    <x:row r="179" ht="22" customHeight="1">
      <x:c r="A179" s="136" t="str">
        <x:v>SCR-0174</x:v>
      </x:c>
      <x:c r="B179" s="143" t="n">
        <x:v>2.948717948717949e-7</x:v>
      </x:c>
      <x:c r="C179" s="143" t="n">
        <x:v>0.005461538461538462</x:v>
      </x:c>
      <x:c r="D179" s="161" t="n">
        <x:v>138</x:v>
      </x:c>
      <x:c r="E179" s="163" t="n">
        <x:v>71207.86741747112</x:v>
      </x:c>
      <x:c r="F179" s="163" t="n">
        <x:v>71207</x:v>
      </x:c>
      <x:c r="G179" s="145" t="n">
        <x:v>0.014441451665260603</x:v>
      </x:c>
      <x:c r="H179" s="145" t="n">
        <x:v>0.07238401316371054</x:v>
      </x:c>
      <x:c r="I179" s="136" t="str">
        <x:v>POSITIVE-MODEL-MARGIN</x:v>
      </x:c>
      <x:c r="J179" s="136" t="str">
        <x:v>V0.7-CONTROLLED-RESEARCH-SCREEN-NOT-DISTRIBUTION</x:v>
      </x:c>
    </x:row>
    <x:row r="180" ht="22" customHeight="1">
      <x:c r="A180" s="137" t="str">
        <x:v>SCR-0175</x:v>
      </x:c>
      <x:c r="B180" s="142" t="n">
        <x:v>2.948717948717949e-7</x:v>
      </x:c>
      <x:c r="C180" s="142" t="n">
        <x:v>0.0057692307692307696</x:v>
      </x:c>
      <x:c r="D180" s="160" t="n">
        <x:v>136</x:v>
      </x:c>
      <x:c r="E180" s="162" t="n">
        <x:v>69179.82448779685</x:v>
      </x:c>
      <x:c r="F180" s="162" t="n">
        <x:v>69179</x:v>
      </x:c>
      <x:c r="G180" s="144" t="n">
        <x:v>0.014664509948247728</x:v>
      </x:c>
      <x:c r="H180" s="144" t="n">
        <x:v>0.07347265378236655</x:v>
      </x:c>
      <x:c r="I180" s="137" t="str">
        <x:v>POSITIVE-MODEL-MARGIN</x:v>
      </x:c>
      <x:c r="J180" s="137" t="str">
        <x:v>V0.7-CONTROLLED-RESEARCH-SCREEN-NOT-DISTRIBUTION</x:v>
      </x:c>
    </x:row>
    <x:row r="181" ht="22" customHeight="1">
      <x:c r="A181" s="136" t="str">
        <x:v>SCR-0176</x:v>
      </x:c>
      <x:c r="B181" s="143" t="n">
        <x:v>2.948717948717949e-7</x:v>
      </x:c>
      <x:c r="C181" s="143" t="n">
        <x:v>0.006076923076923077</x:v>
      </x:c>
      <x:c r="D181" s="161" t="n">
        <x:v>136</x:v>
      </x:c>
      <x:c r="E181" s="163" t="n">
        <x:v>67168.62337390055</x:v>
      </x:c>
      <x:c r="F181" s="163" t="n">
        <x:v>67168</x:v>
      </x:c>
      <x:c r="G181" s="145" t="n">
        <x:v>0.01496666483018852</x:v>
      </x:c>
      <x:c r="H181" s="145" t="n">
        <x:v>0.07478250101968852</x:v>
      </x:c>
      <x:c r="I181" s="136" t="str">
        <x:v>POSITIVE-MODEL-MARGIN</x:v>
      </x:c>
      <x:c r="J181" s="136" t="str">
        <x:v>V0.7-CONTROLLED-RESEARCH-SCREEN-NOT-DISTRIBUTION</x:v>
      </x:c>
    </x:row>
    <x:row r="182" ht="22" customHeight="1">
      <x:c r="A182" s="137" t="str">
        <x:v>SCR-0177</x:v>
      </x:c>
      <x:c r="B182" s="142" t="n">
        <x:v>2.948717948717949e-7</x:v>
      </x:c>
      <x:c r="C182" s="142" t="n">
        <x:v>0.006384615384615384</x:v>
      </x:c>
      <x:c r="D182" s="160" t="n">
        <x:v>135</x:v>
      </x:c>
      <x:c r="E182" s="162" t="n">
        <x:v>65176.08178317417</x:v>
      </x:c>
      <x:c r="F182" s="162" t="n">
        <x:v>65176</x:v>
      </x:c>
      <x:c r="G182" s="144" t="n">
        <x:v>0.015229424327913493</x:v>
      </x:c>
      <x:c r="H182" s="144" t="n">
        <x:v>0.07598449732509233</x:v>
      </x:c>
      <x:c r="I182" s="137" t="str">
        <x:v>POSITIVE-MODEL-MARGIN</x:v>
      </x:c>
      <x:c r="J182" s="137" t="str">
        <x:v>V0.7-CONTROLLED-RESEARCH-SCREEN-NOT-DISTRIBUTION</x:v>
      </x:c>
    </x:row>
    <x:row r="183" ht="22" customHeight="1">
      <x:c r="A183" s="136" t="str">
        <x:v>SCR-0178</x:v>
      </x:c>
      <x:c r="B183" s="143" t="n">
        <x:v>2.948717948717949e-7</x:v>
      </x:c>
      <x:c r="C183" s="143" t="n">
        <x:v>0.006692307692307693</x:v>
      </x:c>
      <x:c r="D183" s="161" t="n">
        <x:v>135</x:v>
      </x:c>
      <x:c r="E183" s="163" t="n">
        <x:v>63197.8035231515</x:v>
      </x:c>
      <x:c r="F183" s="163" t="n">
        <x:v>63197</x:v>
      </x:c>
      <x:c r="G183" s="145" t="n">
        <x:v>0.015531603766754864</x:v>
      </x:c>
      <x:c r="H183" s="145" t="n">
        <x:v>0.07729148787031945</x:v>
      </x:c>
      <x:c r="I183" s="136" t="str">
        <x:v>POSITIVE-MODEL-MARGIN</x:v>
      </x:c>
      <x:c r="J183" s="136" t="str">
        <x:v>V0.7-CONTROLLED-RESEARCH-SCREEN-NOT-DISTRIBUTION</x:v>
      </x:c>
    </x:row>
    <x:row r="184" ht="22" customHeight="1">
      <x:c r="A184" s="137" t="str">
        <x:v>SCR-0179</x:v>
      </x:c>
      <x:c r="B184" s="142" t="n">
        <x:v>2.948717948717949e-7</x:v>
      </x:c>
      <x:c r="C184" s="142" t="n">
        <x:v>0.007</x:v>
      </x:c>
      <x:c r="D184" s="160" t="n">
        <x:v>133</x:v>
      </x:c>
      <x:c r="E184" s="162" t="n">
        <x:v>61234.61063001351</x:v>
      </x:c>
      <x:c r="F184" s="162" t="n">
        <x:v>61234</x:v>
      </x:c>
      <x:c r="G184" s="144" t="n">
        <x:v>0.015755177354104834</x:v>
      </x:c>
      <x:c r="H184" s="144" t="n">
        <x:v>0.07839392480925919</x:v>
      </x:c>
      <x:c r="I184" s="137" t="str">
        <x:v>POSITIVE-MODEL-MARGIN</x:v>
      </x:c>
      <x:c r="J184" s="137" t="str">
        <x:v>V0.7-CONTROLLED-RESEARCH-SCREEN-NOT-DISTRIBUTION</x:v>
      </x:c>
    </x:row>
    <x:row r="185" ht="22" customHeight="1">
      <x:c r="A185" s="136" t="str">
        <x:v>SCR-0180</x:v>
      </x:c>
      <x:c r="B185" s="143" t="n">
        <x:v>2.948717948717949e-7</x:v>
      </x:c>
      <x:c r="C185" s="143" t="n">
        <x:v>0.007307692307692308</x:v>
      </x:c>
      <x:c r="D185" s="161" t="n">
        <x:v>133</x:v>
      </x:c>
      <x:c r="E185" s="163" t="n">
        <x:v>59285.427171504976</x:v>
      </x:c>
      <x:c r="F185" s="163" t="n">
        <x:v>59285</x:v>
      </x:c>
      <x:c r="G185" s="145" t="n">
        <x:v>0.016057405852642575</x:v>
      </x:c>
      <x:c r="H185" s="145" t="n">
        <x:v>0.07969955714915496</x:v>
      </x:c>
      <x:c r="I185" s="136" t="str">
        <x:v>POSITIVE-MODEL-MARGIN</x:v>
      </x:c>
      <x:c r="J185" s="136" t="str">
        <x:v>V0.7-CONTROLLED-RESEARCH-SCREEN-NOT-DISTRIBUTION</x:v>
      </x:c>
    </x:row>
    <x:row r="186" ht="22" customHeight="1">
      <x:c r="A186" s="137" t="str">
        <x:v>SCR-0181</x:v>
      </x:c>
      <x:c r="B186" s="142" t="n">
        <x:v>2.948717948717949e-7</x:v>
      </x:c>
      <x:c r="C186" s="142" t="n">
        <x:v>0.007615384615384616</x:v>
      </x:c>
      <x:c r="D186" s="160" t="n">
        <x:v>132</x:v>
      </x:c>
      <x:c r="E186" s="162" t="n">
        <x:v>57356.06696890876</x:v>
      </x:c>
      <x:c r="F186" s="162" t="n">
        <x:v>57356</x:v>
      </x:c>
      <x:c r="G186" s="144" t="n">
        <x:v>0.016320472304593856</x:v>
      </x:c>
      <x:c r="H186" s="144" t="n">
        <x:v>0.08090708418516926</x:v>
      </x:c>
      <x:c r="I186" s="137" t="str">
        <x:v>POSITIVE-MODEL-MARGIN</x:v>
      </x:c>
      <x:c r="J186" s="137" t="str">
        <x:v>V0.7-CONTROLLED-RESEARCH-SCREEN-NOT-DISTRIBUTION</x:v>
      </x:c>
    </x:row>
    <x:row r="187" ht="22" customHeight="1">
      <x:c r="A187" s="136" t="str">
        <x:v>SCR-0182</x:v>
      </x:c>
      <x:c r="B187" s="143" t="n">
        <x:v>2.948717948717949e-7</x:v>
      </x:c>
      <x:c r="C187" s="143" t="n">
        <x:v>0.007923076923076923</x:v>
      </x:c>
      <x:c r="D187" s="161" t="n">
        <x:v>132</x:v>
      </x:c>
      <x:c r="E187" s="163" t="n">
        <x:v>55437.83428041917</x:v>
      </x:c>
      <x:c r="F187" s="163" t="n">
        <x:v>55437</x:v>
      </x:c>
      <x:c r="G187" s="145" t="n">
        <x:v>0.016622725275601553</x:v>
      </x:c>
      <x:c r="H187" s="145" t="n">
        <x:v>0.08221025396082193</x:v>
      </x:c>
      <x:c r="I187" s="136" t="str">
        <x:v>POSITIVE-MODEL-MARGIN</x:v>
      </x:c>
      <x:c r="J187" s="136" t="str">
        <x:v>V0.7-CONTROLLED-RESEARCH-SCREEN-NOT-DISTRIBUTION</x:v>
      </x:c>
    </x:row>
    <x:row r="188" ht="22" customHeight="1">
      <x:c r="A188" s="137" t="str">
        <x:v>SCR-0183</x:v>
      </x:c>
      <x:c r="B188" s="142" t="n">
        <x:v>2.948717948717949e-7</x:v>
      </x:c>
      <x:c r="C188" s="142" t="n">
        <x:v>0.00823076923076923</x:v>
      </x:c>
      <x:c r="D188" s="160" t="n">
        <x:v>130</x:v>
      </x:c>
      <x:c r="E188" s="162" t="n">
        <x:v>53538.12178984384</x:v>
      </x:c>
      <x:c r="F188" s="162" t="n">
        <x:v>53538</x:v>
      </x:c>
      <x:c r="G188" s="144" t="n">
        <x:v>0.016846918289751187</x:v>
      </x:c>
      <x:c r="H188" s="144" t="n">
        <x:v>0.08332958375611227</x:v>
      </x:c>
      <x:c r="I188" s="137" t="str">
        <x:v>POSITIVE-MODEL-MARGIN</x:v>
      </x:c>
      <x:c r="J188" s="137" t="str">
        <x:v>V0.7-CONTROLLED-RESEARCH-SCREEN-NOT-DISTRIBUTION</x:v>
      </x:c>
    </x:row>
    <x:row r="189" ht="22" customHeight="1">
      <x:c r="A189" s="136" t="str">
        <x:v>SCR-0184</x:v>
      </x:c>
      <x:c r="B189" s="143" t="n">
        <x:v>2.948717948717949e-7</x:v>
      </x:c>
      <x:c r="C189" s="143" t="n">
        <x:v>0.00853846153846154</x:v>
      </x:c>
      <x:c r="D189" s="161" t="n">
        <x:v>130</x:v>
      </x:c>
      <x:c r="E189" s="163" t="n">
        <x:v>51651.44249342502</x:v>
      </x:c>
      <x:c r="F189" s="163" t="n">
        <x:v>51651</x:v>
      </x:c>
      <x:c r="G189" s="145" t="n">
        <x:v>0.017149220101680927</x:v>
      </x:c>
      <x:c r="H189" s="145" t="n">
        <x:v>0.08463179971788298</x:v>
      </x:c>
      <x:c r="I189" s="136" t="str">
        <x:v>POSITIVE-MODEL-MARGIN</x:v>
      </x:c>
      <x:c r="J189" s="136" t="str">
        <x:v>V0.7-CONTROLLED-RESEARCH-SCREEN-NOT-DISTRIBUTION</x:v>
      </x:c>
    </x:row>
    <x:row r="190" ht="22" customHeight="1">
      <x:c r="A190" s="137" t="str">
        <x:v>SCR-0185</x:v>
      </x:c>
      <x:c r="B190" s="142" t="n">
        <x:v>2.948717948717949e-7</x:v>
      </x:c>
      <x:c r="C190" s="142" t="n">
        <x:v>0.008846153846153847</x:v>
      </x:c>
      <x:c r="D190" s="160" t="n">
        <x:v>128</x:v>
      </x:c>
      <x:c r="E190" s="162" t="n">
        <x:v>49779.40711347499</x:v>
      </x:c>
      <x:c r="F190" s="162" t="n">
        <x:v>49779</x:v>
      </x:c>
      <x:c r="G190" s="144" t="n">
        <x:v>0.017373757845789192</x:v>
      </x:c>
      <x:c r="H190" s="144" t="n">
        <x:v>0.08576262966475809</x:v>
      </x:c>
      <x:c r="I190" s="137" t="str">
        <x:v>POSITIVE-MODEL-MARGIN</x:v>
      </x:c>
      <x:c r="J190" s="137" t="str">
        <x:v>V0.7-CONTROLLED-RESEARCH-SCREEN-NOT-DISTRIBUTION</x:v>
      </x:c>
    </x:row>
    <x:row r="191" ht="22" customHeight="1">
      <x:c r="A191" s="136" t="str">
        <x:v>SCR-0186</x:v>
      </x:c>
      <x:c r="B191" s="143" t="n">
        <x:v>2.948717948717949e-7</x:v>
      </x:c>
      <x:c r="C191" s="143" t="n">
        <x:v>0.009153846153846155</x:v>
      </x:c>
      <x:c r="D191" s="161" t="n">
        <x:v>128</x:v>
      </x:c>
      <x:c r="E191" s="163" t="n">
        <x:v>47923.57413889898</x:v>
      </x:c>
      <x:c r="F191" s="163" t="n">
        <x:v>47923</x:v>
      </x:c>
      <x:c r="G191" s="145" t="n">
        <x:v>0.017676108374470385</x:v>
      </x:c>
      <x:c r="H191" s="145" t="n">
        <x:v>0.08706409545731762</x:v>
      </x:c>
      <x:c r="I191" s="136" t="str">
        <x:v>POSITIVE-MODEL-MARGIN</x:v>
      </x:c>
      <x:c r="J191" s="136" t="str">
        <x:v>V0.7-CONTROLLED-RESEARCH-SCREEN-NOT-DISTRIBUTION</x:v>
      </x:c>
    </x:row>
    <x:row r="192" ht="22" customHeight="1">
      <x:c r="A192" s="137" t="str">
        <x:v>SCR-0187</x:v>
      </x:c>
      <x:c r="B192" s="142" t="n">
        <x:v>2.948717948717949e-7</x:v>
      </x:c>
      <x:c r="C192" s="142" t="n">
        <x:v>0.009461538461538462</x:v>
      </x:c>
      <x:c r="D192" s="160" t="n">
        <x:v>127</x:v>
      </x:c>
      <x:c r="E192" s="162" t="n">
        <x:v>46081.38690923066</x:v>
      </x:c>
      <x:c r="F192" s="162" t="n">
        <x:v>46081</x:v>
      </x:c>
      <x:c r="G192" s="144" t="n">
        <x:v>0.01793969102715241</x:v>
      </x:c>
      <x:c r="H192" s="144" t="n">
        <x:v>0.08828450671613522</x:v>
      </x:c>
      <x:c r="I192" s="137" t="str">
        <x:v>POSITIVE-MODEL-MARGIN</x:v>
      </x:c>
      <x:c r="J192" s="137" t="str">
        <x:v>V0.7-CONTROLLED-RESEARCH-SCREEN-NOT-DISTRIBUTION</x:v>
      </x:c>
    </x:row>
    <x:row r="193" ht="22" customHeight="1">
      <x:c r="A193" s="136" t="str">
        <x:v>SCR-0188</x:v>
      </x:c>
      <x:c r="B193" s="143" t="n">
        <x:v>2.948717948717949e-7</x:v>
      </x:c>
      <x:c r="C193" s="143" t="n">
        <x:v>0.00976923076923077</x:v>
      </x:c>
      <x:c r="D193" s="161" t="n">
        <x:v>126</x:v>
      </x:c>
      <x:c r="E193" s="163" t="n">
        <x:v>44255.04760157156</x:v>
      </x:c>
      <x:c r="F193" s="163" t="n">
        <x:v>44255</x:v>
      </x:c>
      <x:c r="G193" s="145" t="n">
        <x:v>0.01820341518024629</x:v>
      </x:c>
      <x:c r="H193" s="145" t="n">
        <x:v>0.08950844115622161</x:v>
      </x:c>
      <x:c r="I193" s="136" t="str">
        <x:v>POSITIVE-MODEL-MARGIN</x:v>
      </x:c>
      <x:c r="J193" s="136" t="str">
        <x:v>V0.7-CONTROLLED-RESEARCH-SCREEN-NOT-DISTRIBUTION</x:v>
      </x:c>
    </x:row>
    <x:row r="194" ht="22" customHeight="1">
      <x:c r="A194" s="137" t="str">
        <x:v>SCR-0189</x:v>
      </x:c>
      <x:c r="B194" s="142" t="n">
        <x:v>2.948717948717949e-7</x:v>
      </x:c>
      <x:c r="C194" s="142" t="n">
        <x:v>0.010076923076923077</x:v>
      </x:c>
      <x:c r="D194" s="160" t="n">
        <x:v>126</x:v>
      </x:c>
      <x:c r="E194" s="162" t="n">
        <x:v>42440.4879977083</x:v>
      </x:c>
      <x:c r="F194" s="162" t="n">
        <x:v>42440</x:v>
      </x:c>
      <x:c r="G194" s="144" t="n">
        <x:v>0.018505814285295373</x:v>
      </x:c>
      <x:c r="H194" s="144" t="n">
        <x:v>0.09080773452348749</x:v>
      </x:c>
      <x:c r="I194" s="137" t="str">
        <x:v>POSITIVE-MODEL-MARGIN</x:v>
      </x:c>
      <x:c r="J194" s="137" t="str">
        <x:v>V0.7-CONTROLLED-RESEARCH-SCREEN-NOT-DISTRIBUTION</x:v>
      </x:c>
    </x:row>
    <x:row r="195" ht="22" customHeight="1">
      <x:c r="A195" s="136" t="str">
        <x:v>SCR-0190</x:v>
      </x:c>
      <x:c r="B195" s="143" t="n">
        <x:v>2.948717948717949e-7</x:v>
      </x:c>
      <x:c r="C195" s="143" t="n">
        <x:v>0.010384615384615384</x:v>
      </x:c>
      <x:c r="D195" s="161" t="n">
        <x:v>125</x:v>
      </x:c>
      <x:c r="E195" s="163" t="n">
        <x:v>40641.17405682896</x:v>
      </x:c>
      <x:c r="F195" s="163" t="n">
        <x:v>40641</x:v>
      </x:c>
      <x:c r="G195" s="145" t="n">
        <x:v>0.018769646216918758</x:v>
      </x:c>
      <x:c r="H195" s="145" t="n">
        <x:v>0.09203456924351897</x:v>
      </x:c>
      <x:c r="I195" s="136" t="str">
        <x:v>POSITIVE-MODEL-MARGIN</x:v>
      </x:c>
      <x:c r="J195" s="136" t="str">
        <x:v>V0.7-CONTROLLED-RESEARCH-SCREEN-NOT-DISTRIBUTION</x:v>
      </x:c>
    </x:row>
    <x:row r="196" ht="22" customHeight="1">
      <x:c r="A196" s="137" t="str">
        <x:v>SCR-0191</x:v>
      </x:c>
      <x:c r="B196" s="142" t="n">
        <x:v>2.948717948717949e-7</x:v>
      </x:c>
      <x:c r="C196" s="142" t="n">
        <x:v>0.010692307692307692</x:v>
      </x:c>
      <x:c r="D196" s="160" t="n">
        <x:v>124</x:v>
      </x:c>
      <x:c r="E196" s="162" t="n">
        <x:v>38856.00183917018</x:v>
      </x:c>
      <x:c r="F196" s="162" t="n">
        <x:v>38856</x:v>
      </x:c>
      <x:c r="G196" s="144" t="n">
        <x:v>0.019033557969353458</x:v>
      </x:c>
      <x:c r="H196" s="144" t="n">
        <x:v>0.09326461906055843</x:v>
      </x:c>
      <x:c r="I196" s="137" t="str">
        <x:v>POSITIVE-MODEL-MARGIN</x:v>
      </x:c>
      <x:c r="J196" s="137" t="str">
        <x:v>V0.7-CONTROLLED-RESEARCH-SCREEN-NOT-DISTRIBUTION</x:v>
      </x:c>
    </x:row>
    <x:row r="197" ht="22" customHeight="1">
      <x:c r="A197" s="136" t="str">
        <x:v>SCR-0192</x:v>
      </x:c>
      <x:c r="B197" s="143" t="n">
        <x:v>2.948717948717949e-7</x:v>
      </x:c>
      <x:c r="C197" s="143" t="n">
        <x:v>0.011</x:v>
      </x:c>
      <x:c r="D197" s="161" t="n">
        <x:v>123</x:v>
      </x:c>
      <x:c r="E197" s="163" t="n">
        <x:v>37086.36430847139</x:v>
      </x:c>
      <x:c r="F197" s="163" t="n">
        <x:v>37086</x:v>
      </x:c>
      <x:c r="G197" s="145" t="n">
        <x:v>0.019297599408910276</x:v>
      </x:c>
      <x:c r="H197" s="145" t="n">
        <x:v>0.09449855522100847</x:v>
      </x:c>
      <x:c r="I197" s="136" t="str">
        <x:v>POSITIVE-MODEL-MARGIN</x:v>
      </x:c>
      <x:c r="J197" s="136" t="str">
        <x:v>V0.7-CONTROLLED-RESEARCH-SCREEN-NOT-DISTRIBUTION</x:v>
      </x:c>
    </x:row>
    <x:row r="198" ht="22" customHeight="1">
      <x:c r="A198" s="137" t="str">
        <x:v>SCR-0193</x:v>
      </x:c>
      <x:c r="B198" s="142" t="n">
        <x:v>2.948717948717949e-7</x:v>
      </x:c>
      <x:c r="C198" s="142" t="n">
        <x:v>0.011307692307692307</x:v>
      </x:c>
      <x:c r="D198" s="160" t="n">
        <x:v>122</x:v>
      </x:c>
      <x:c r="E198" s="162" t="n">
        <x:v>35328.29762638258</x:v>
      </x:c>
      <x:c r="F198" s="162" t="n">
        <x:v>35328</x:v>
      </x:c>
      <x:c r="G198" s="144" t="n">
        <x:v>0.019561766398048828</x:v>
      </x:c>
      <x:c r="H198" s="144" t="n">
        <x:v>0.09573649152507276</x:v>
      </x:c>
      <x:c r="I198" s="137" t="str">
        <x:v>POSITIVE-MODEL-MARGIN</x:v>
      </x:c>
      <x:c r="J198" s="137" t="str">
        <x:v>V0.7-CONTROLLED-RESEARCH-SCREEN-NOT-DISTRIBUTION</x:v>
      </x:c>
    </x:row>
    <x:row r="199" ht="22" customHeight="1">
      <x:c r="A199" s="136" t="str">
        <x:v>SCR-0194</x:v>
      </x:c>
      <x:c r="B199" s="143" t="n">
        <x:v>2.948717948717949e-7</x:v>
      </x:c>
      <x:c r="C199" s="143" t="n">
        <x:v>0.011615384615384614</x:v>
      </x:c>
      <x:c r="D199" s="161" t="n">
        <x:v>122</x:v>
      </x:c>
      <x:c r="E199" s="163" t="n">
        <x:v>33585.71523266589</x:v>
      </x:c>
      <x:c r="F199" s="163" t="n">
        <x:v>33585</x:v>
      </x:c>
      <x:c r="G199" s="145" t="n">
        <x:v>0.019864262241268953</x:v>
      </x:c>
      <x:c r="H199" s="145" t="n">
        <x:v>0.09703390060514328</x:v>
      </x:c>
      <x:c r="I199" s="136" t="str">
        <x:v>POSITIVE-MODEL-MARGIN</x:v>
      </x:c>
      <x:c r="J199" s="136" t="str">
        <x:v>V0.7-CONTROLLED-RESEARCH-SCREEN-NOT-DISTRIBUTION</x:v>
      </x:c>
    </x:row>
    <x:row r="200" ht="22" customHeight="1">
      <x:c r="A200" s="137" t="str">
        <x:v>SCR-0195</x:v>
      </x:c>
      <x:c r="B200" s="142" t="n">
        <x:v>2.948717948717949e-7</x:v>
      </x:c>
      <x:c r="C200" s="142" t="n">
        <x:v>0.011923076923076925</x:v>
      </x:c>
      <x:c r="D200" s="160" t="n">
        <x:v>121</x:v>
      </x:c>
      <x:c r="E200" s="162" t="n">
        <x:v>31855.138681915563</x:v>
      </x:c>
      <x:c r="F200" s="162" t="n">
        <x:v>31855</x:v>
      </x:c>
      <x:c r="G200" s="144" t="n">
        <x:v>0.020128574692138884</x:v>
      </x:c>
      <x:c r="H200" s="144" t="n">
        <x:v>0.09827599775628001</x:v>
      </x:c>
      <x:c r="I200" s="137" t="str">
        <x:v>POSITIVE-MODEL-MARGIN</x:v>
      </x:c>
      <x:c r="J200" s="137" t="str">
        <x:v>V0.7-CONTROLLED-RESEARCH-SCREEN-NOT-DISTRIBUTION</x:v>
      </x:c>
    </x:row>
    <x:row r="201" ht="22" customHeight="1">
      <x:c r="A201" s="136" t="str">
        <x:v>SCR-0196</x:v>
      </x:c>
      <x:c r="B201" s="143" t="n">
        <x:v>2.948717948717949e-7</x:v>
      </x:c>
      <x:c r="C201" s="143" t="n">
        <x:v>0.012230769230769233</x:v>
      </x:c>
      <x:c r="D201" s="161" t="n">
        <x:v>119</x:v>
      </x:c>
      <x:c r="E201" s="163" t="n">
        <x:v>30143.83014578697</x:v>
      </x:c>
      <x:c r="F201" s="163" t="n">
        <x:v>30143</x:v>
      </x:c>
      <x:c r="G201" s="145" t="n">
        <x:v>0.020354872735370993</x:v>
      </x:c>
      <x:c r="H201" s="145" t="n">
        <x:v>0.09947427875518992</x:v>
      </x:c>
      <x:c r="I201" s="136" t="str">
        <x:v>POSITIVE-MODEL-MARGIN</x:v>
      </x:c>
      <x:c r="J201" s="136" t="str">
        <x:v>V0.7-CONTROLLED-RESEARCH-SCREEN-NOT-DISTRIBUTION</x:v>
      </x:c>
    </x:row>
    <x:row r="202" ht="22" customHeight="1">
      <x:c r="A202" s="137" t="str">
        <x:v>SCR-0197</x:v>
      </x:c>
      <x:c r="B202" s="142" t="n">
        <x:v>2.948717948717949e-7</x:v>
      </x:c>
      <x:c r="C202" s="142" t="n">
        <x:v>0.01253846153846154</x:v>
      </x:c>
      <x:c r="D202" s="160" t="n">
        <x:v>119</x:v>
      </x:c>
      <x:c r="E202" s="162" t="n">
        <x:v>28440.852069737713</x:v>
      </x:c>
      <x:c r="F202" s="162" t="n">
        <x:v>28440</x:v>
      </x:c>
      <x:c r="G202" s="144" t="n">
        <x:v>0.02065744073204418</x:v>
      </x:c>
      <x:c r="H202" s="144" t="n">
        <x:v>0.10077195728081595</x:v>
      </x:c>
      <x:c r="I202" s="137" t="str">
        <x:v>POSITIVE-MODEL-MARGIN</x:v>
      </x:c>
      <x:c r="J202" s="137" t="str">
        <x:v>V0.7-CONTROLLED-RESEARCH-SCREEN-NOT-DISTRIBUTION</x:v>
      </x:c>
    </x:row>
    <x:row r="203" ht="22" customHeight="1">
      <x:c r="A203" s="136" t="str">
        <x:v>SCR-0198</x:v>
      </x:c>
      <x:c r="B203" s="143" t="n">
        <x:v>2.948717948717949e-7</x:v>
      </x:c>
      <x:c r="C203" s="143" t="n">
        <x:v>0.012846153846153847</x:v>
      </x:c>
      <x:c r="D203" s="161" t="n">
        <x:v>118</x:v>
      </x:c>
      <x:c r="E203" s="163" t="n">
        <x:v>26752.256234941993</x:v>
      </x:c>
      <x:c r="F203" s="163" t="n">
        <x:v>26752</x:v>
      </x:c>
      <x:c r="G203" s="145" t="n">
        <x:v>0.020922092257800923</x:v>
      </x:c>
      <x:c r="H203" s="145" t="n">
        <x:v>0.10202724937062682</x:v>
      </x:c>
      <x:c r="I203" s="136" t="str">
        <x:v>POSITIVE-MODEL-MARGIN</x:v>
      </x:c>
      <x:c r="J203" s="136" t="str">
        <x:v>V0.7-CONTROLLED-RESEARCH-SCREEN-NOT-DISTRIBUTION</x:v>
      </x:c>
    </x:row>
    <x:row r="204" ht="22" customHeight="1">
      <x:c r="A204" s="137" t="str">
        <x:v>SCR-0199</x:v>
      </x:c>
      <x:c r="B204" s="142" t="n">
        <x:v>2.948717948717949e-7</x:v>
      </x:c>
      <x:c r="C204" s="142" t="n">
        <x:v>0.013153846153846155</x:v>
      </x:c>
      <x:c r="D204" s="160" t="n">
        <x:v>117</x:v>
      </x:c>
      <x:c r="E204" s="162" t="n">
        <x:v>25078.903640141554</x:v>
      </x:c>
      <x:c r="F204" s="162" t="n">
        <x:v>25078</x:v>
      </x:c>
      <x:c r="G204" s="144" t="n">
        <x:v>0.021186848235749144</x:v>
      </x:c>
      <x:c r="H204" s="144" t="n">
        <x:v>0.10328718958316029</x:v>
      </x:c>
      <x:c r="I204" s="137" t="str">
        <x:v>POSITIVE-MODEL-MARGIN</x:v>
      </x:c>
      <x:c r="J204" s="137" t="str">
        <x:v>V0.7-CONTROLLED-RESEARCH-SCREEN-NOT-DISTRIBUTION</x:v>
      </x:c>
    </x:row>
    <x:row r="205" ht="22" customHeight="1">
      <x:c r="A205" s="136" t="str">
        <x:v>SCR-0200</x:v>
      </x:c>
      <x:c r="B205" s="143" t="n">
        <x:v>2.948717948717949e-7</x:v>
      </x:c>
      <x:c r="C205" s="143" t="n">
        <x:v>0.013461538461538462</x:v>
      </x:c>
      <x:c r="D205" s="161" t="n">
        <x:v>115</x:v>
      </x:c>
      <x:c r="E205" s="163" t="n">
        <x:v>23419.264259835636</x:v>
      </x:c>
      <x:c r="F205" s="163" t="n">
        <x:v>23419</x:v>
      </x:c>
      <x:c r="G205" s="145" t="n">
        <x:v>0.02141399273371586</x:v>
      </x:c>
      <x:c r="H205" s="145" t="n">
        <x:v>0.10452281908495142</x:v>
      </x:c>
      <x:c r="I205" s="136" t="str">
        <x:v>POSITIVE-MODEL-MARGIN</x:v>
      </x:c>
      <x:c r="J205" s="136" t="str">
        <x:v>V0.7-CONTROLLED-RESEARCH-SCREEN-NOT-DISTRIBUTION</x:v>
      </x:c>
    </x:row>
    <x:row r="206" ht="22" customHeight="1">
      <x:c r="A206" s="137" t="str">
        <x:v>SCR-0201</x:v>
      </x:c>
      <x:c r="B206" s="142" t="n">
        <x:v>2.948717948717949e-7</x:v>
      </x:c>
      <x:c r="C206" s="142" t="n">
        <x:v>0.01376923076923077</x:v>
      </x:c>
      <x:c r="D206" s="160" t="n">
        <x:v>114</x:v>
      </x:c>
      <x:c r="E206" s="162" t="n">
        <x:v>21774.048100325574</x:v>
      </x:c>
      <x:c r="F206" s="162" t="n">
        <x:v>21774</x:v>
      </x:c>
      <x:c r="G206" s="144" t="n">
        <x:v>0.021679064859673643</x:v>
      </x:c>
      <x:c r="H206" s="144" t="n">
        <x:v>0.10579773007595705</x:v>
      </x:c>
      <x:c r="I206" s="137" t="str">
        <x:v>POSITIVE-MODEL-MARGIN</x:v>
      </x:c>
      <x:c r="J206" s="137" t="str">
        <x:v>V0.7-CONTROLLED-RESEARCH-SCREEN-NOT-DISTRIBUTION</x:v>
      </x:c>
    </x:row>
    <x:row r="207" ht="22" customHeight="1">
      <x:c r="A207" s="136" t="str">
        <x:v>SCR-0202</x:v>
      </x:c>
      <x:c r="B207" s="143" t="n">
        <x:v>2.948717948717949e-7</x:v>
      </x:c>
      <x:c r="C207" s="143" t="n">
        <x:v>0.014076923076923077</x:v>
      </x:c>
      <x:c r="D207" s="161" t="n">
        <x:v>114</x:v>
      </x:c>
      <x:c r="E207" s="163" t="n">
        <x:v>20140.119136248588</x:v>
      </x:c>
      <x:c r="F207" s="163" t="n">
        <x:v>20140</x:v>
      </x:c>
      <x:c r="G207" s="145" t="n">
        <x:v>0.021981752234909377</x:v>
      </x:c>
      <x:c r="H207" s="145" t="n">
        <x:v>0.10709681638847779</x:v>
      </x:c>
      <x:c r="I207" s="136" t="str">
        <x:v>POSITIVE-MODEL-MARGIN</x:v>
      </x:c>
      <x:c r="J207" s="136" t="str">
        <x:v>V0.7-CONTROLLED-RESEARCH-SCREEN-NOT-DISTRIBUTION</x:v>
      </x:c>
    </x:row>
    <x:row r="208" ht="22" customHeight="1">
      <x:c r="A208" s="137" t="str">
        <x:v>SCR-0203</x:v>
      </x:c>
      <x:c r="B208" s="142" t="n">
        <x:v>2.948717948717949e-7</x:v>
      </x:c>
      <x:c r="C208" s="142" t="n">
        <x:v>0.014384615384615385</x:v>
      </x:c>
      <x:c r="D208" s="160" t="n">
        <x:v>112</x:v>
      </x:c>
      <x:c r="E208" s="162" t="n">
        <x:v>18521.02874055188</x:v>
      </x:c>
      <x:c r="F208" s="162" t="n">
        <x:v>18521</x:v>
      </x:c>
      <x:c r="G208" s="144" t="n">
        <x:v>0.022209569894027184</x:v>
      </x:c>
      <x:c r="H208" s="144" t="n">
        <x:v>0.10836438983820357</x:v>
      </x:c>
      <x:c r="I208" s="137" t="str">
        <x:v>POSITIVE-MODEL-MARGIN</x:v>
      </x:c>
      <x:c r="J208" s="137" t="str">
        <x:v>V0.7-CONTROLLED-RESEARCH-SCREEN-NOT-DISTRIBUTION</x:v>
      </x:c>
    </x:row>
    <x:row r="209" ht="22" customHeight="1">
      <x:c r="A209" s="136" t="str">
        <x:v>SCR-0204</x:v>
      </x:c>
      <x:c r="B209" s="143" t="n">
        <x:v>2.948717948717949e-7</x:v>
      </x:c>
      <x:c r="C209" s="143" t="n">
        <x:v>0.014692307692307692</x:v>
      </x:c>
      <x:c r="D209" s="161" t="n">
        <x:v>111</x:v>
      </x:c>
      <x:c r="E209" s="163" t="n">
        <x:v>16920.81135209592</x:v>
      </x:c>
      <x:c r="F209" s="163" t="n">
        <x:v>16920</x:v>
      </x:c>
      <x:c r="G209" s="145" t="n">
        <x:v>0.022474993454137348</x:v>
      </x:c>
      <x:c r="H209" s="145" t="n">
        <x:v>0.10965644784411738</x:v>
      </x:c>
      <x:c r="I209" s="136" t="str">
        <x:v>POSITIVE-MODEL-MARGIN</x:v>
      </x:c>
      <x:c r="J209" s="136" t="str">
        <x:v>V0.7-CONTROLLED-RESEARCH-SCREEN-NOT-DISTRIBUTION</x:v>
      </x:c>
    </x:row>
    <x:row r="210" ht="22" customHeight="1">
      <x:c r="A210" s="137" t="str">
        <x:v>SCR-0205</x:v>
      </x:c>
      <x:c r="B210" s="142" t="n">
        <x:v>2.948717948717949e-7</x:v>
      </x:c>
      <x:c r="C210" s="142" t="n">
        <x:v>0.015</x:v>
      </x:c>
      <x:c r="D210" s="160" t="n">
        <x:v>110</x:v>
      </x:c>
      <x:c r="E210" s="162" t="n">
        <x:v>15329.800399244417</x:v>
      </x:c>
      <x:c r="F210" s="162" t="n">
        <x:v>15329</x:v>
      </x:c>
      <x:c r="G210" s="144" t="n">
        <x:v>0.022740542127371827</x:v>
      </x:c>
      <x:c r="H210" s="144" t="n">
        <x:v>0.11095475449759029</x:v>
      </x:c>
      <x:c r="I210" s="137" t="str">
        <x:v>POSITIVE-MODEL-MARGIN</x:v>
      </x:c>
      <x:c r="J210" s="137" t="str">
        <x:v>V0.7-CONTROLLED-RESEARCH-SCREEN-NOT-DISTRIBUTION</x:v>
      </x:c>
    </x:row>
    <x:row r="211" ht="22" customHeight="1">
      <x:c r="A211" s="136" t="str">
        <x:v>SCR-0206</x:v>
      </x:c>
      <x:c r="B211" s="143" t="n">
        <x:v>3.4358974358974356e-7</x:v>
      </x:c>
      <x:c r="C211" s="143" t="n">
        <x:v>0.003</x:v>
      </x:c>
      <x:c r="D211" s="161" t="n">
        <x:v>131</x:v>
      </x:c>
      <x:c r="E211" s="163" t="n">
        <x:v>78412.51385398256</x:v>
      </x:c>
      <x:c r="F211" s="163" t="n">
        <x:v>78412</x:v>
      </x:c>
      <x:c r="G211" s="145" t="n">
        <x:v>0.013083964096123519</x:v>
      </x:c>
      <x:c r="H211" s="145" t="n">
        <x:v>0.06758910316164628</x:v>
      </x:c>
      <x:c r="I211" s="136" t="str">
        <x:v>POSITIVE-MODEL-MARGIN</x:v>
      </x:c>
      <x:c r="J211" s="136" t="str">
        <x:v>V0.7-CONTROLLED-RESEARCH-SCREEN-NOT-DISTRIBUTION</x:v>
      </x:c>
    </x:row>
    <x:row r="212" ht="22" customHeight="1">
      <x:c r="A212" s="137" t="str">
        <x:v>SCR-0207</x:v>
      </x:c>
      <x:c r="B212" s="142" t="n">
        <x:v>3.4358974358974356e-7</x:v>
      </x:c>
      <x:c r="C212" s="142" t="n">
        <x:v>0.003307692307692308</x:v>
      </x:c>
      <x:c r="D212" s="160" t="n">
        <x:v>130</x:v>
      </x:c>
      <x:c r="E212" s="162" t="n">
        <x:v>76345.48216147158</x:v>
      </x:c>
      <x:c r="F212" s="162" t="n">
        <x:v>76345</x:v>
      </x:c>
      <x:c r="G212" s="144" t="n">
        <x:v>0.013339761908099027</x:v>
      </x:c>
      <x:c r="H212" s="144" t="n">
        <x:v>0.06879224425692776</x:v>
      </x:c>
      <x:c r="I212" s="137" t="str">
        <x:v>POSITIVE-MODEL-MARGIN</x:v>
      </x:c>
      <x:c r="J212" s="137" t="str">
        <x:v>V0.7-CONTROLLED-RESEARCH-SCREEN-NOT-DISTRIBUTION</x:v>
      </x:c>
    </x:row>
    <x:row r="213" ht="22" customHeight="1">
      <x:c r="A213" s="136" t="str">
        <x:v>SCR-0208</x:v>
      </x:c>
      <x:c r="B213" s="143" t="n">
        <x:v>3.4358974358974356e-7</x:v>
      </x:c>
      <x:c r="C213" s="143" t="n">
        <x:v>0.0036153846153846154</x:v>
      </x:c>
      <x:c r="D213" s="161" t="n">
        <x:v>129</x:v>
      </x:c>
      <x:c r="E213" s="163" t="n">
        <x:v>74295.24139639684</x:v>
      </x:c>
      <x:c r="F213" s="163" t="n">
        <x:v>74295</x:v>
      </x:c>
      <x:c r="G213" s="145" t="n">
        <x:v>0.01359567313407425</x:v>
      </x:c>
      <x:c r="H213" s="145" t="n">
        <x:v>0.06999749798704136</x:v>
      </x:c>
      <x:c r="I213" s="136" t="str">
        <x:v>POSITIVE-MODEL-MARGIN</x:v>
      </x:c>
      <x:c r="J213" s="136" t="str">
        <x:v>V0.7-CONTROLLED-RESEARCH-SCREEN-NOT-DISTRIBUTION</x:v>
      </x:c>
    </x:row>
    <x:row r="214" ht="22" customHeight="1">
      <x:c r="A214" s="137" t="str">
        <x:v>SCR-0209</x:v>
      </x:c>
      <x:c r="B214" s="142" t="n">
        <x:v>3.4358974358974356e-7</x:v>
      </x:c>
      <x:c r="C214" s="142" t="n">
        <x:v>0.003923076923076923</x:v>
      </x:c>
      <x:c r="D214" s="160" t="n">
        <x:v>129</x:v>
      </x:c>
      <x:c r="E214" s="162" t="n">
        <x:v>72264.64257458643</x:v>
      </x:c>
      <x:c r="F214" s="162" t="n">
        <x:v>72264</x:v>
      </x:c>
      <x:c r="G214" s="144" t="n">
        <x:v>0.013897179511293059</x:v>
      </x:c>
      <x:c r="H214" s="144" t="n">
        <x:v>0.07133350920401074</x:v>
      </x:c>
      <x:c r="I214" s="137" t="str">
        <x:v>POSITIVE-MODEL-MARGIN</x:v>
      </x:c>
      <x:c r="J214" s="137" t="str">
        <x:v>V0.7-CONTROLLED-RESEARCH-SCREEN-NOT-DISTRIBUTION</x:v>
      </x:c>
    </x:row>
    <x:row r="215" ht="22" customHeight="1">
      <x:c r="A215" s="136" t="str">
        <x:v>SCR-0210</x:v>
      </x:c>
      <x:c r="B215" s="143" t="n">
        <x:v>3.4358974358974356e-7</x:v>
      </x:c>
      <x:c r="C215" s="143" t="n">
        <x:v>0.004230769230769231</x:v>
      </x:c>
      <x:c r="D215" s="161" t="n">
        <x:v>129</x:v>
      </x:c>
      <x:c r="E215" s="163" t="n">
        <x:v>70248.90158336285</x:v>
      </x:c>
      <x:c r="F215" s="163" t="n">
        <x:v>70248</x:v>
      </x:c>
      <x:c r="G215" s="145" t="n">
        <x:v>0.014198685888511862</x:v>
      </x:c>
      <x:c r="H215" s="145" t="n">
        <x:v>0.0726671445465832</x:v>
      </x:c>
      <x:c r="I215" s="136" t="str">
        <x:v>POSITIVE-MODEL-MARGIN</x:v>
      </x:c>
      <x:c r="J215" s="136" t="str">
        <x:v>V0.7-CONTROLLED-RESEARCH-SCREEN-NOT-DISTRIBUTION</x:v>
      </x:c>
    </x:row>
    <x:row r="216" ht="22" customHeight="1">
      <x:c r="A216" s="137" t="str">
        <x:v>SCR-0211</x:v>
      </x:c>
      <x:c r="B216" s="142" t="n">
        <x:v>3.4358974358974356e-7</x:v>
      </x:c>
      <x:c r="C216" s="142" t="n">
        <x:v>0.004538461538461538</x:v>
      </x:c>
      <x:c r="D216" s="160" t="n">
        <x:v>128</x:v>
      </x:c>
      <x:c r="E216" s="162" t="n">
        <x:v>68251.22314994824</x:v>
      </x:c>
      <x:c r="F216" s="162" t="n">
        <x:v>68251</x:v>
      </x:c>
      <x:c r="G216" s="144" t="n">
        <x:v>0.014454762739880639</x:v>
      </x:c>
      <x:c r="H216" s="144" t="n">
        <x:v>0.07387312616931636</x:v>
      </x:c>
      <x:c r="I216" s="137" t="str">
        <x:v>POSITIVE-MODEL-MARGIN</x:v>
      </x:c>
      <x:c r="J216" s="137" t="str">
        <x:v>V0.7-CONTROLLED-RESEARCH-SCREEN-NOT-DISTRIBUTION</x:v>
      </x:c>
    </x:row>
    <x:row r="217" ht="22" customHeight="1">
      <x:c r="A217" s="136" t="str">
        <x:v>SCR-0212</x:v>
      </x:c>
      <x:c r="B217" s="143" t="n">
        <x:v>3.4358974358974356e-7</x:v>
      </x:c>
      <x:c r="C217" s="143" t="n">
        <x:v>0.004846153846153846</x:v>
      </x:c>
      <x:c r="D217" s="161" t="n">
        <x:v>128</x:v>
      </x:c>
      <x:c r="E217" s="163" t="n">
        <x:v>66265.41361220914</x:v>
      </x:c>
      <x:c r="F217" s="163" t="n">
        <x:v>66265</x:v>
      </x:c>
      <x:c r="G217" s="145" t="n">
        <x:v>0.014756297329834953</x:v>
      </x:c>
      <x:c r="H217" s="145" t="n">
        <x:v>0.07520379302582669</x:v>
      </x:c>
      <x:c r="I217" s="136" t="str">
        <x:v>POSITIVE-MODEL-MARGIN</x:v>
      </x:c>
      <x:c r="J217" s="136" t="str">
        <x:v>V0.7-CONTROLLED-RESEARCH-SCREEN-NOT-DISTRIBUTION</x:v>
      </x:c>
    </x:row>
    <x:row r="218" ht="22" customHeight="1">
      <x:c r="A218" s="137" t="str">
        <x:v>SCR-0213</x:v>
      </x:c>
      <x:c r="B218" s="142" t="n">
        <x:v>3.4358974358974356e-7</x:v>
      </x:c>
      <x:c r="C218" s="142" t="n">
        <x:v>0.005</x:v>
      </x:c>
      <x:c r="D218" s="160" t="n">
        <x:v>127</x:v>
      </x:c>
      <x:c r="E218" s="162" t="n">
        <x:v>65282.46769072985</x:v>
      </x:c>
      <x:c r="F218" s="162" t="n">
        <x:v>65282</x:v>
      </x:c>
      <x:c r="G218" s="144" t="n">
        <x:v>0.01486172587577099</x:v>
      </x:c>
      <x:c r="H218" s="144" t="n">
        <x:v>0.07574687142107925</x:v>
      </x:c>
      <x:c r="I218" s="137" t="str">
        <x:v>POSITIVE-MODEL-MARGIN</x:v>
      </x:c>
      <x:c r="J218" s="137" t="str">
        <x:v>V0.7-CONTROLLED-RESEARCH-SCREEN-NOT-DISTRIBUTION</x:v>
      </x:c>
    </x:row>
    <x:row r="219" ht="22" customHeight="1">
      <x:c r="A219" s="136" t="str">
        <x:v>SCR-0214</x:v>
      </x:c>
      <x:c r="B219" s="143" t="n">
        <x:v>3.4358974358974356e-7</x:v>
      </x:c>
      <x:c r="C219" s="143" t="n">
        <x:v>0.005153846153846154</x:v>
      </x:c>
      <x:c r="D219" s="161" t="n">
        <x:v>127</x:v>
      </x:c>
      <x:c r="E219" s="163" t="n">
        <x:v>64303.069085230396</x:v>
      </x:c>
      <x:c r="F219" s="163" t="n">
        <x:v>64303</x:v>
      </x:c>
      <x:c r="G219" s="145" t="n">
        <x:v>0.015012507262055223</x:v>
      </x:c>
      <x:c r="H219" s="145" t="n">
        <x:v>0.07641163364522324</x:v>
      </x:c>
      <x:c r="I219" s="136" t="str">
        <x:v>POSITIVE-MODEL-MARGIN</x:v>
      </x:c>
      <x:c r="J219" s="136" t="str">
        <x:v>V0.7-CONTROLLED-RESEARCH-SCREEN-NOT-DISTRIBUTION</x:v>
      </x:c>
    </x:row>
    <x:row r="220" ht="22" customHeight="1">
      <x:c r="A220" s="137" t="str">
        <x:v>SCR-0215</x:v>
      </x:c>
      <x:c r="B220" s="142" t="n">
        <x:v>3.4358974358974356e-7</x:v>
      </x:c>
      <x:c r="C220" s="142" t="n">
        <x:v>0.005461538461538462</x:v>
      </x:c>
      <x:c r="D220" s="160" t="n">
        <x:v>127</x:v>
      </x:c>
      <x:c r="E220" s="162" t="n">
        <x:v>62350.26701457944</x:v>
      </x:c>
      <x:c r="F220" s="162" t="n">
        <x:v>62350</x:v>
      </x:c>
      <x:c r="G220" s="144" t="n">
        <x:v>0.01531407003462369</x:v>
      </x:c>
      <x:c r="H220" s="144" t="n">
        <x:v>0.07773956233147102</x:v>
      </x:c>
      <x:c r="I220" s="137" t="str">
        <x:v>POSITIVE-MODEL-MARGIN</x:v>
      </x:c>
      <x:c r="J220" s="137" t="str">
        <x:v>V0.7-CONTROLLED-RESEARCH-SCREEN-NOT-DISTRIBUTION</x:v>
      </x:c>
    </x:row>
    <x:row r="221" ht="22" customHeight="1">
      <x:c r="A221" s="136" t="str">
        <x:v>SCR-0216</x:v>
      </x:c>
      <x:c r="B221" s="143" t="n">
        <x:v>3.4358974358974356e-7</x:v>
      </x:c>
      <x:c r="C221" s="143" t="n">
        <x:v>0.0057692307692307696</x:v>
      </x:c>
      <x:c r="D221" s="161" t="n">
        <x:v>126</x:v>
      </x:c>
      <x:c r="E221" s="163" t="n">
        <x:v>60415.47457581788</x:v>
      </x:c>
      <x:c r="F221" s="163" t="n">
        <x:v>60415</x:v>
      </x:c>
      <x:c r="G221" s="145" t="n">
        <x:v>0.015570471843853214</x:v>
      </x:c>
      <x:c r="H221" s="145" t="n">
        <x:v>0.07895010999366696</x:v>
      </x:c>
      <x:c r="I221" s="136" t="str">
        <x:v>POSITIVE-MODEL-MARGIN</x:v>
      </x:c>
      <x:c r="J221" s="136" t="str">
        <x:v>V0.7-CONTROLLED-RESEARCH-SCREEN-NOT-DISTRIBUTION</x:v>
      </x:c>
    </x:row>
    <x:row r="222" ht="22" customHeight="1">
      <x:c r="A222" s="137" t="str">
        <x:v>SCR-0217</x:v>
      </x:c>
      <x:c r="B222" s="142" t="n">
        <x:v>3.4358974358974356e-7</x:v>
      </x:c>
      <x:c r="C222" s="142" t="n">
        <x:v>0.006076923076923077</x:v>
      </x:c>
      <x:c r="D222" s="160" t="n">
        <x:v>125</x:v>
      </x:c>
      <x:c r="E222" s="162" t="n">
        <x:v>58495.99627287516</x:v>
      </x:c>
      <x:c r="F222" s="162" t="n">
        <x:v>58495</x:v>
      </x:c>
      <x:c r="G222" s="144" t="n">
        <x:v>0.015826969635323995</x:v>
      </x:c>
      <x:c r="H222" s="144" t="n">
        <x:v>0.08016345070061057</x:v>
      </x:c>
      <x:c r="I222" s="137" t="str">
        <x:v>POSITIVE-MODEL-MARGIN</x:v>
      </x:c>
      <x:c r="J222" s="137" t="str">
        <x:v>V0.7-CONTROLLED-RESEARCH-SCREEN-NOT-DISTRIBUTION</x:v>
      </x:c>
    </x:row>
    <x:row r="223" ht="22" customHeight="1">
      <x:c r="A223" s="136" t="str">
        <x:v>SCR-0218</x:v>
      </x:c>
      <x:c r="B223" s="143" t="n">
        <x:v>3.4358974358974356e-7</x:v>
      </x:c>
      <x:c r="C223" s="143" t="n">
        <x:v>0.006384615384615384</x:v>
      </x:c>
      <x:c r="D223" s="161" t="n">
        <x:v>125</x:v>
      </x:c>
      <x:c r="E223" s="163" t="n">
        <x:v>56593.52527351285</x:v>
      </x:c>
      <x:c r="F223" s="163" t="n">
        <x:v>56593</x:v>
      </x:c>
      <x:c r="G223" s="145" t="n">
        <x:v>0.016128588614718317</x:v>
      </x:c>
      <x:c r="H223" s="145" t="n">
        <x:v>0.08148847040759166</x:v>
      </x:c>
      <x:c r="I223" s="136" t="str">
        <x:v>POSITIVE-MODEL-MARGIN</x:v>
      </x:c>
      <x:c r="J223" s="136" t="str">
        <x:v>V0.7-CONTROLLED-RESEARCH-SCREEN-NOT-DISTRIBUTION</x:v>
      </x:c>
    </x:row>
    <x:row r="224" ht="22" customHeight="1">
      <x:c r="A224" s="137" t="str">
        <x:v>SCR-0219</x:v>
      </x:c>
      <x:c r="B224" s="142" t="n">
        <x:v>3.4358974358974356e-7</x:v>
      </x:c>
      <x:c r="C224" s="142" t="n">
        <x:v>0.006692307692307693</x:v>
      </x:c>
      <x:c r="D224" s="160" t="n">
        <x:v>123</x:v>
      </x:c>
      <x:c r="E224" s="162" t="n">
        <x:v>54704.00099950721</x:v>
      </x:c>
      <x:c r="F224" s="162" t="n">
        <x:v>54704</x:v>
      </x:c>
      <x:c r="G224" s="144" t="n">
        <x:v>0.016340298523042</x:v>
      </x:c>
      <x:c r="H224" s="144" t="n">
        <x:v>0.08259950143323846</x:v>
      </x:c>
      <x:c r="I224" s="137" t="str">
        <x:v>POSITIVE-MODEL-MARGIN</x:v>
      </x:c>
      <x:c r="J224" s="137" t="str">
        <x:v>V0.7-CONTROLLED-RESEARCH-SCREEN-NOT-DISTRIBUTION</x:v>
      </x:c>
    </x:row>
    <x:row r="225" ht="22" customHeight="1">
      <x:c r="A225" s="136" t="str">
        <x:v>SCR-0220</x:v>
      </x:c>
      <x:c r="B225" s="143" t="n">
        <x:v>3.4358974358974356e-7</x:v>
      </x:c>
      <x:c r="C225" s="143" t="n">
        <x:v>0.007</x:v>
      </x:c>
      <x:c r="D225" s="161" t="n">
        <x:v>122</x:v>
      </x:c>
      <x:c r="E225" s="163" t="n">
        <x:v>52832.717921566706</x:v>
      </x:c>
      <x:c r="F225" s="163" t="n">
        <x:v>52832</x:v>
      </x:c>
      <x:c r="G225" s="145" t="n">
        <x:v>0.01659718310639266</x:v>
      </x:c>
      <x:c r="H225" s="145" t="n">
        <x:v>0.08382301798299543</x:v>
      </x:c>
      <x:c r="I225" s="136" t="str">
        <x:v>POSITIVE-MODEL-MARGIN</x:v>
      </x:c>
      <x:c r="J225" s="136" t="str">
        <x:v>V0.7-CONTROLLED-RESEARCH-SCREEN-NOT-DISTRIBUTION</x:v>
      </x:c>
    </x:row>
    <x:row r="226" ht="22" customHeight="1">
      <x:c r="A226" s="137" t="str">
        <x:v>SCR-0221</x:v>
      </x:c>
      <x:c r="B226" s="142" t="n">
        <x:v>3.4358974358974356e-7</x:v>
      </x:c>
      <x:c r="C226" s="142" t="n">
        <x:v>0.007307692307692308</x:v>
      </x:c>
      <x:c r="D226" s="160" t="n">
        <x:v>122</x:v>
      </x:c>
      <x:c r="E226" s="162" t="n">
        <x:v>50976.03960737268</x:v>
      </x:c>
      <x:c r="F226" s="162" t="n">
        <x:v>50976</x:v>
      </x:c>
      <x:c r="G226" s="144" t="n">
        <x:v>0.016898886119839692</x:v>
      </x:c>
      <x:c r="H226" s="144" t="n">
        <x:v>0.08514722639924607</x:v>
      </x:c>
      <x:c r="I226" s="137" t="str">
        <x:v>POSITIVE-MODEL-MARGIN</x:v>
      </x:c>
      <x:c r="J226" s="137" t="str">
        <x:v>V0.7-CONTROLLED-RESEARCH-SCREEN-NOT-DISTRIBUTION</x:v>
      </x:c>
    </x:row>
    <x:row r="227" ht="22" customHeight="1">
      <x:c r="A227" s="136" t="str">
        <x:v>SCR-0222</x:v>
      </x:c>
      <x:c r="B227" s="143" t="n">
        <x:v>3.4358974358974356e-7</x:v>
      </x:c>
      <x:c r="C227" s="143" t="n">
        <x:v>0.007615384615384616</x:v>
      </x:c>
      <x:c r="D227" s="161" t="n">
        <x:v>122</x:v>
      </x:c>
      <x:c r="E227" s="163" t="n">
        <x:v>49131.25015198769</x:v>
      </x:c>
      <x:c r="F227" s="163" t="n">
        <x:v>49131</x:v>
      </x:c>
      <x:c r="G227" s="145" t="n">
        <x:v>0.017200589133286728</x:v>
      </x:c>
      <x:c r="H227" s="145" t="n">
        <x:v>0.0864696042916708</x:v>
      </x:c>
      <x:c r="I227" s="136" t="str">
        <x:v>POSITIVE-MODEL-MARGIN</x:v>
      </x:c>
      <x:c r="J227" s="136" t="str">
        <x:v>V0.7-CONTROLLED-RESEARCH-SCREEN-NOT-DISTRIBUTION</x:v>
      </x:c>
    </x:row>
    <x:row r="228" ht="22" customHeight="1">
      <x:c r="A228" s="137" t="str">
        <x:v>SCR-0223</x:v>
      </x:c>
      <x:c r="B228" s="142" t="n">
        <x:v>3.4358974358974356e-7</x:v>
      </x:c>
      <x:c r="C228" s="142" t="n">
        <x:v>0.007923076923076923</x:v>
      </x:c>
      <x:c r="D228" s="160" t="n">
        <x:v>120</x:v>
      </x:c>
      <x:c r="E228" s="162" t="n">
        <x:v>47301.186204607286</x:v>
      </x:c>
      <x:c r="F228" s="162" t="n">
        <x:v>47301</x:v>
      </x:c>
      <x:c r="G228" s="144" t="n">
        <x:v>0.017413064848323365</x:v>
      </x:c>
      <x:c r="H228" s="144" t="n">
        <x:v>0.08760317660743969</x:v>
      </x:c>
      <x:c r="I228" s="137" t="str">
        <x:v>POSITIVE-MODEL-MARGIN</x:v>
      </x:c>
      <x:c r="J228" s="137" t="str">
        <x:v>V0.7-CONTROLLED-RESEARCH-SCREEN-NOT-DISTRIBUTION</x:v>
      </x:c>
    </x:row>
    <x:row r="229" ht="22" customHeight="1">
      <x:c r="A229" s="136" t="str">
        <x:v>SCR-0224</x:v>
      </x:c>
      <x:c r="B229" s="143" t="n">
        <x:v>3.4358974358974356e-7</x:v>
      </x:c>
      <x:c r="C229" s="143" t="n">
        <x:v>0.00823076923076923</x:v>
      </x:c>
      <x:c r="D229" s="161" t="n">
        <x:v>119</x:v>
      </x:c>
      <x:c r="E229" s="163" t="n">
        <x:v>45488.70741272068</x:v>
      </x:c>
      <x:c r="F229" s="163" t="n">
        <x:v>45488</x:v>
      </x:c>
      <x:c r="G229" s="145" t="n">
        <x:v>0.017670321524415507</x:v>
      </x:c>
      <x:c r="H229" s="145" t="n">
        <x:v>0.08883468107614709</x:v>
      </x:c>
      <x:c r="I229" s="136" t="str">
        <x:v>POSITIVE-MODEL-MARGIN</x:v>
      </x:c>
      <x:c r="J229" s="136" t="str">
        <x:v>V0.7-CONTROLLED-RESEARCH-SCREEN-NOT-DISTRIBUTION</x:v>
      </x:c>
    </x:row>
    <x:row r="230" ht="22" customHeight="1">
      <x:c r="A230" s="137" t="str">
        <x:v>SCR-0225</x:v>
      </x:c>
      <x:c r="B230" s="142" t="n">
        <x:v>3.4358974358974356e-7</x:v>
      </x:c>
      <x:c r="C230" s="142" t="n">
        <x:v>0.00853846153846154</x:v>
      </x:c>
      <x:c r="D230" s="160" t="n">
        <x:v>119</x:v>
      </x:c>
      <x:c r="E230" s="162" t="n">
        <x:v>43691.68748293757</x:v>
      </x:c>
      <x:c r="F230" s="162" t="n">
        <x:v>43691</x:v>
      </x:c>
      <x:c r="G230" s="144" t="n">
        <x:v>0.017972108175421848</x:v>
      </x:c>
      <x:c r="H230" s="144" t="n">
        <x:v>0.09015678651057306</x:v>
      </x:c>
      <x:c r="I230" s="137" t="str">
        <x:v>POSITIVE-MODEL-MARGIN</x:v>
      </x:c>
      <x:c r="J230" s="137" t="str">
        <x:v>V0.7-CONTROLLED-RESEARCH-SCREEN-NOT-DISTRIBUTION</x:v>
      </x:c>
    </x:row>
    <x:row r="231" ht="22" customHeight="1">
      <x:c r="A231" s="136" t="str">
        <x:v>SCR-0226</x:v>
      </x:c>
      <x:c r="B231" s="143" t="n">
        <x:v>3.4358974358974356e-7</x:v>
      </x:c>
      <x:c r="C231" s="143" t="n">
        <x:v>0.008846153846153847</x:v>
      </x:c>
      <x:c r="D231" s="161" t="n">
        <x:v>119</x:v>
      </x:c>
      <x:c r="E231" s="163" t="n">
        <x:v>41905.72344921085</x:v>
      </x:c>
      <x:c r="F231" s="163" t="n">
        <x:v>41905</x:v>
      </x:c>
      <x:c r="G231" s="145" t="n">
        <x:v>0.018273894826428192</x:v>
      </x:c>
      <x:c r="H231" s="145" t="n">
        <x:v>0.09147719983465467</x:v>
      </x:c>
      <x:c r="I231" s="136" t="str">
        <x:v>POSITIVE-MODEL-MARGIN</x:v>
      </x:c>
      <x:c r="J231" s="136" t="str">
        <x:v>V0.7-CONTROLLED-RESEARCH-SCREEN-NOT-DISTRIBUTION</x:v>
      </x:c>
    </x:row>
    <x:row r="232" ht="22" customHeight="1">
      <x:c r="A232" s="137" t="str">
        <x:v>SCR-0227</x:v>
      </x:c>
      <x:c r="B232" s="142" t="n">
        <x:v>3.4358974358974356e-7</x:v>
      </x:c>
      <x:c r="C232" s="142" t="n">
        <x:v>0.009153846153846155</x:v>
      </x:c>
      <x:c r="D232" s="160" t="n">
        <x:v>118</x:v>
      </x:c>
      <x:c r="E232" s="162" t="n">
        <x:v>40136.4556911076</x:v>
      </x:c>
      <x:c r="F232" s="162" t="n">
        <x:v>40136</x:v>
      </x:c>
      <x:c r="G232" s="144" t="n">
        <x:v>0.018531394735693724</x:v>
      </x:c>
      <x:c r="H232" s="144" t="n">
        <x:v>0.09271347452559316</x:v>
      </x:c>
      <x:c r="I232" s="137" t="str">
        <x:v>POSITIVE-MODEL-MARGIN</x:v>
      </x:c>
      <x:c r="J232" s="137" t="str">
        <x:v>V0.7-CONTROLLED-RESEARCH-SCREEN-NOT-DISTRIBUTION</x:v>
      </x:c>
    </x:row>
    <x:row r="233" ht="22" customHeight="1">
      <x:c r="A233" s="136" t="str">
        <x:v>SCR-0228</x:v>
      </x:c>
      <x:c r="B233" s="143" t="n">
        <x:v>3.4358974358974356e-7</x:v>
      </x:c>
      <x:c r="C233" s="143" t="n">
        <x:v>0.009461538461538462</x:v>
      </x:c>
      <x:c r="D233" s="161" t="n">
        <x:v>117</x:v>
      </x:c>
      <x:c r="E233" s="163" t="n">
        <x:v>38382.92544834159</x:v>
      </x:c>
      <x:c r="F233" s="163" t="n">
        <x:v>38382</x:v>
      </x:c>
      <x:c r="G233" s="145" t="n">
        <x:v>0.018789015091482435</x:v>
      </x:c>
      <x:c r="H233" s="145" t="n">
        <x:v>0.09395411211776916</x:v>
      </x:c>
      <x:c r="I233" s="136" t="str">
        <x:v>POSITIVE-MODEL-MARGIN</x:v>
      </x:c>
      <x:c r="J233" s="136" t="str">
        <x:v>V0.7-CONTROLLED-RESEARCH-SCREEN-NOT-DISTRIBUTION</x:v>
      </x:c>
    </x:row>
    <x:row r="234" ht="22" customHeight="1">
      <x:c r="A234" s="137" t="str">
        <x:v>SCR-0229</x:v>
      </x:c>
      <x:c r="B234" s="142" t="n">
        <x:v>3.4358974358974356e-7</x:v>
      </x:c>
      <x:c r="C234" s="142" t="n">
        <x:v>0.00976923076923077</x:v>
      </x:c>
      <x:c r="D234" s="160" t="n">
        <x:v>116</x:v>
      </x:c>
      <x:c r="E234" s="162" t="n">
        <x:v>36641.14419421419</x:v>
      </x:c>
      <x:c r="F234" s="162" t="n">
        <x:v>36641</x:v>
      </x:c>
      <x:c r="G234" s="144" t="n">
        <x:v>0.0190467508813279</x:v>
      </x:c>
      <x:c r="H234" s="144" t="n">
        <x:v>0.09519923719214679</x:v>
      </x:c>
      <x:c r="I234" s="137" t="str">
        <x:v>POSITIVE-MODEL-MARGIN</x:v>
      </x:c>
      <x:c r="J234" s="137" t="str">
        <x:v>V0.7-CONTROLLED-RESEARCH-SCREEN-NOT-DISTRIBUTION</x:v>
      </x:c>
    </x:row>
    <x:row r="235" ht="22" customHeight="1">
      <x:c r="A235" s="136" t="str">
        <x:v>SCR-0230</x:v>
      </x:c>
      <x:c r="B235" s="143" t="n">
        <x:v>3.4358974358974356e-7</x:v>
      </x:c>
      <x:c r="C235" s="143" t="n">
        <x:v>0.010076923076923077</x:v>
      </x:c>
      <x:c r="D235" s="161" t="n">
        <x:v>115</x:v>
      </x:c>
      <x:c r="E235" s="163" t="n">
        <x:v>34915.037743710105</x:v>
      </x:c>
      <x:c r="F235" s="163" t="n">
        <x:v>34915</x:v>
      </x:c>
      <x:c r="G235" s="145" t="n">
        <x:v>0.019304597051057925</x:v>
      </x:c>
      <x:c r="H235" s="145" t="n">
        <x:v>0.09644897678328343</x:v>
      </x:c>
      <x:c r="I235" s="136" t="str">
        <x:v>POSITIVE-MODEL-MARGIN</x:v>
      </x:c>
      <x:c r="J235" s="136" t="str">
        <x:v>V0.7-CONTROLLED-RESEARCH-SCREEN-NOT-DISTRIBUTION</x:v>
      </x:c>
    </x:row>
    <x:row r="236" ht="22" customHeight="1">
      <x:c r="A236" s="137" t="str">
        <x:v>SCR-0231</x:v>
      </x:c>
      <x:c r="B236" s="142" t="n">
        <x:v>3.4358974358974356e-7</x:v>
      </x:c>
      <x:c r="C236" s="142" t="n">
        <x:v>0.010384615384615384</x:v>
      </x:c>
      <x:c r="D236" s="160" t="n">
        <x:v>114</x:v>
      </x:c>
      <x:c r="E236" s="162" t="n">
        <x:v>33202.0743244611</x:v>
      </x:c>
      <x:c r="F236" s="162" t="n">
        <x:v>33202</x:v>
      </x:c>
      <x:c r="G236" s="144" t="n">
        <x:v>0.01956260984403415</x:v>
      </x:c>
      <x:c r="H236" s="144" t="n">
        <x:v>0.09770411136591096</x:v>
      </x:c>
      <x:c r="I236" s="137" t="str">
        <x:v>POSITIVE-MODEL-MARGIN</x:v>
      </x:c>
      <x:c r="J236" s="137" t="str">
        <x:v>V0.7-CONTROLLED-RESEARCH-SCREEN-NOT-DISTRIBUTION</x:v>
      </x:c>
    </x:row>
    <x:row r="237" ht="22" customHeight="1">
      <x:c r="A237" s="136" t="str">
        <x:v>SCR-0232</x:v>
      </x:c>
      <x:c r="B237" s="143" t="n">
        <x:v>3.4358974358974356e-7</x:v>
      </x:c>
      <x:c r="C237" s="143" t="n">
        <x:v>0.010692307692307692</x:v>
      </x:c>
      <x:c r="D237" s="161" t="n">
        <x:v>114</x:v>
      </x:c>
      <x:c r="E237" s="163" t="n">
        <x:v>31500.635852546275</x:v>
      </x:c>
      <x:c r="F237" s="163" t="n">
        <x:v>31500</x:v>
      </x:c>
      <x:c r="G237" s="145" t="n">
        <x:v>0.019864534888374016</x:v>
      </x:c>
      <x:c r="H237" s="145" t="n">
        <x:v>0.09902367965611071</x:v>
      </x:c>
      <x:c r="I237" s="136" t="str">
        <x:v>POSITIVE-MODEL-MARGIN</x:v>
      </x:c>
      <x:c r="J237" s="136" t="str">
        <x:v>V0.7-CONTROLLED-RESEARCH-SCREEN-NOT-DISTRIBUTION</x:v>
      </x:c>
    </x:row>
    <x:row r="238" ht="22" customHeight="1">
      <x:c r="A238" s="137" t="str">
        <x:v>SCR-0233</x:v>
      </x:c>
      <x:c r="B238" s="142" t="n">
        <x:v>3.4358974358974356e-7</x:v>
      </x:c>
      <x:c r="C238" s="142" t="n">
        <x:v>0.011</x:v>
      </x:c>
      <x:c r="D238" s="160" t="n">
        <x:v>112</x:v>
      </x:c>
      <x:c r="E238" s="162" t="n">
        <x:v>29814.17972687894</x:v>
      </x:c>
      <x:c r="F238" s="162" t="n">
        <x:v>29814</x:v>
      </x:c>
      <x:c r="G238" s="144" t="n">
        <x:v>0.020079052123813352</x:v>
      </x:c>
      <x:c r="H238" s="144" t="n">
        <x:v>0.10023050933774871</x:v>
      </x:c>
      <x:c r="I238" s="137" t="str">
        <x:v>POSITIVE-MODEL-MARGIN</x:v>
      </x:c>
      <x:c r="J238" s="137" t="str">
        <x:v>V0.7-CONTROLLED-RESEARCH-SCREEN-NOT-DISTRIBUTION</x:v>
      </x:c>
    </x:row>
    <x:row r="239" ht="22" customHeight="1">
      <x:c r="A239" s="136" t="str">
        <x:v>SCR-0234</x:v>
      </x:c>
      <x:c r="B239" s="143" t="n">
        <x:v>3.4358974358974356e-7</x:v>
      </x:c>
      <x:c r="C239" s="143" t="n">
        <x:v>0.011307692307692307</x:v>
      </x:c>
      <x:c r="D239" s="161" t="n">
        <x:v>111</x:v>
      </x:c>
      <x:c r="E239" s="163" t="n">
        <x:v>28143.14135382092</x:v>
      </x:c>
      <x:c r="F239" s="163" t="n">
        <x:v>28143</x:v>
      </x:c>
      <x:c r="G239" s="145" t="n">
        <x:v>0.020337470715533115</x:v>
      </x:c>
      <x:c r="H239" s="145" t="n">
        <x:v>0.10150207295826225</x:v>
      </x:c>
      <x:c r="I239" s="136" t="str">
        <x:v>POSITIVE-MODEL-MARGIN</x:v>
      </x:c>
      <x:c r="J239" s="136" t="str">
        <x:v>V0.7-CONTROLLED-RESEARCH-SCREEN-NOT-DISTRIBUTION</x:v>
      </x:c>
    </x:row>
    <x:row r="240" ht="22" customHeight="1">
      <x:c r="A240" s="137" t="str">
        <x:v>SCR-0235</x:v>
      </x:c>
      <x:c r="B240" s="142" t="n">
        <x:v>3.4358974358974356e-7</x:v>
      </x:c>
      <x:c r="C240" s="142" t="n">
        <x:v>0.011615384615384614</x:v>
      </x:c>
      <x:c r="D240" s="160" t="n">
        <x:v>111</x:v>
      </x:c>
      <x:c r="E240" s="162" t="n">
        <x:v>26485.294448614168</x:v>
      </x:c>
      <x:c r="F240" s="162" t="n">
        <x:v>26485</x:v>
      </x:c>
      <x:c r="G240" s="144" t="n">
        <x:v>0.020639478186665727</x:v>
      </x:c>
      <x:c r="H240" s="144" t="n">
        <x:v>0.1028227724872931</x:v>
      </x:c>
      <x:c r="I240" s="137" t="str">
        <x:v>POSITIVE-MODEL-MARGIN</x:v>
      </x:c>
      <x:c r="J240" s="137" t="str">
        <x:v>V0.7-CONTROLLED-RESEARCH-SCREEN-NOT-DISTRIBUTION</x:v>
      </x:c>
    </x:row>
    <x:row r="241" ht="22" customHeight="1">
      <x:c r="A241" s="136" t="str">
        <x:v>SCR-0236</x:v>
      </x:c>
      <x:c r="B241" s="143" t="n">
        <x:v>3.4358974358974356e-7</x:v>
      </x:c>
      <x:c r="C241" s="143" t="n">
        <x:v>0.011923076923076925</x:v>
      </x:c>
      <x:c r="D241" s="161" t="n">
        <x:v>110</x:v>
      </x:c>
      <x:c r="E241" s="163" t="n">
        <x:v>24839.163977210937</x:v>
      </x:c>
      <x:c r="F241" s="163" t="n">
        <x:v>24839</x:v>
      </x:c>
      <x:c r="G241" s="145" t="n">
        <x:v>0.02089806873762347</x:v>
      </x:c>
      <x:c r="H241" s="145" t="n">
        <x:v>0.1041008315363879</x:v>
      </x:c>
      <x:c r="I241" s="136" t="str">
        <x:v>POSITIVE-MODEL-MARGIN</x:v>
      </x:c>
      <x:c r="J241" s="136" t="str">
        <x:v>V0.7-CONTROLLED-RESEARCH-SCREEN-NOT-DISTRIBUTION</x:v>
      </x:c>
    </x:row>
    <x:row r="242" ht="22" customHeight="1">
      <x:c r="A242" s="137" t="str">
        <x:v>SCR-0237</x:v>
      </x:c>
      <x:c r="B242" s="142" t="n">
        <x:v>3.4358974358974356e-7</x:v>
      </x:c>
      <x:c r="C242" s="142" t="n">
        <x:v>0.012230769230769233</x:v>
      </x:c>
      <x:c r="D242" s="160" t="n">
        <x:v>108</x:v>
      </x:c>
      <x:c r="E242" s="162" t="n">
        <x:v>23208.04876475252</x:v>
      </x:c>
      <x:c r="F242" s="162" t="n">
        <x:v>23208</x:v>
      </x:c>
      <x:c r="G242" s="144" t="n">
        <x:v>0.02111369260794852</x:v>
      </x:c>
      <x:c r="H242" s="144" t="n">
        <x:v>0.1053548652055605</x:v>
      </x:c>
      <x:c r="I242" s="137" t="str">
        <x:v>POSITIVE-MODEL-MARGIN</x:v>
      </x:c>
      <x:c r="J242" s="137" t="str">
        <x:v>V0.7-CONTROLLED-RESEARCH-SCREEN-NOT-DISTRIBUTION</x:v>
      </x:c>
    </x:row>
    <x:row r="243" ht="22" customHeight="1">
      <x:c r="A243" s="136" t="str">
        <x:v>SCR-0238</x:v>
      </x:c>
      <x:c r="B243" s="143" t="n">
        <x:v>3.4358974358974356e-7</x:v>
      </x:c>
      <x:c r="C243" s="143" t="n">
        <x:v>0.01253846153846154</x:v>
      </x:c>
      <x:c r="D243" s="161" t="n">
        <x:v>108</x:v>
      </x:c>
      <x:c r="E243" s="163" t="n">
        <x:v>21592.88251888173</x:v>
      </x:c>
      <x:c r="F243" s="163" t="n">
        <x:v>21592</x:v>
      </x:c>
      <x:c r="G243" s="145" t="n">
        <x:v>0.021415781959297137</x:v>
      </x:c>
      <x:c r="H243" s="145" t="n">
        <x:v>0.10667720259680649</x:v>
      </x:c>
      <x:c r="I243" s="136" t="str">
        <x:v>POSITIVE-MODEL-MARGIN</x:v>
      </x:c>
      <x:c r="J243" s="136" t="str">
        <x:v>V0.7-CONTROLLED-RESEARCH-SCREEN-NOT-DISTRIBUTION</x:v>
      </x:c>
    </x:row>
    <x:row r="244" ht="22" customHeight="1">
      <x:c r="A244" s="137" t="str">
        <x:v>SCR-0239</x:v>
      </x:c>
      <x:c r="B244" s="142" t="n">
        <x:v>3.4358974358974356e-7</x:v>
      </x:c>
      <x:c r="C244" s="142" t="n">
        <x:v>0.012846153846153847</x:v>
      </x:c>
      <x:c r="D244" s="160" t="n">
        <x:v>107</x:v>
      </x:c>
      <x:c r="E244" s="162" t="n">
        <x:v>19987.51546933386</x:v>
      </x:c>
      <x:c r="F244" s="162" t="n">
        <x:v>19987</x:v>
      </x:c>
      <x:c r="G244" s="144" t="n">
        <x:v>0.021674832207471573</x:v>
      </x:c>
      <x:c r="H244" s="144" t="n">
        <x:v>0.10797518908327129</x:v>
      </x:c>
      <x:c r="I244" s="137" t="str">
        <x:v>POSITIVE-MODEL-MARGIN</x:v>
      </x:c>
      <x:c r="J244" s="137" t="str">
        <x:v>V0.7-CONTROLLED-RESEARCH-SCREEN-NOT-DISTRIBUTION</x:v>
      </x:c>
    </x:row>
    <x:row r="245" ht="22" customHeight="1">
      <x:c r="A245" s="136" t="str">
        <x:v>SCR-0240</x:v>
      </x:c>
      <x:c r="B245" s="143" t="n">
        <x:v>3.4358974358974356e-7</x:v>
      </x:c>
      <x:c r="C245" s="143" t="n">
        <x:v>0.013153846153846155</x:v>
      </x:c>
      <x:c r="D245" s="161" t="n">
        <x:v>106</x:v>
      </x:c>
      <x:c r="E245" s="163" t="n">
        <x:v>18396.74558943797</x:v>
      </x:c>
      <x:c r="F245" s="163" t="n">
        <x:v>18396</x:v>
      </x:c>
      <x:c r="G245" s="145" t="n">
        <x:v>0.021934064240496577</x:v>
      </x:c>
      <x:c r="H245" s="145" t="n">
        <x:v>0.10928065943320645</x:v>
      </x:c>
      <x:c r="I245" s="136" t="str">
        <x:v>POSITIVE-MODEL-MARGIN</x:v>
      </x:c>
      <x:c r="J245" s="136" t="str">
        <x:v>V0.7-CONTROLLED-RESEARCH-SCREEN-NOT-DISTRIBUTION</x:v>
      </x:c>
    </x:row>
    <x:row r="246" ht="22" customHeight="1">
      <x:c r="A246" s="137" t="str">
        <x:v>SCR-0241</x:v>
      </x:c>
      <x:c r="B246" s="142" t="n">
        <x:v>3.4358974358974356e-7</x:v>
      </x:c>
      <x:c r="C246" s="142" t="n">
        <x:v>0.013461538461538462</x:v>
      </x:c>
      <x:c r="D246" s="160" t="n">
        <x:v>105</x:v>
      </x:c>
      <x:c r="E246" s="162" t="n">
        <x:v>16819.169797603336</x:v>
      </x:c>
      <x:c r="F246" s="162" t="n">
        <x:v>16819</x:v>
      </x:c>
      <x:c r="G246" s="144" t="n">
        <x:v>0.022193411561427373</x:v>
      </x:c>
      <x:c r="H246" s="144" t="n">
        <x:v>0.11059310668607752</x:v>
      </x:c>
      <x:c r="I246" s="137" t="str">
        <x:v>POSITIVE-MODEL-MARGIN</x:v>
      </x:c>
      <x:c r="J246" s="137" t="str">
        <x:v>V0.7-CONTROLLED-RESEARCH-SCREEN-NOT-DISTRIBUTION</x:v>
      </x:c>
    </x:row>
    <x:row r="247" ht="22" customHeight="1">
      <x:c r="A247" s="136" t="str">
        <x:v>SCR-0242</x:v>
      </x:c>
      <x:c r="B247" s="143" t="n">
        <x:v>3.4358974358974356e-7</x:v>
      </x:c>
      <x:c r="C247" s="143" t="n">
        <x:v>0.01376923076923077</x:v>
      </x:c>
      <x:c r="D247" s="161" t="n">
        <x:v>104</x:v>
      </x:c>
      <x:c r="E247" s="163" t="n">
        <x:v>15260.026372224358</x:v>
      </x:c>
      <x:c r="F247" s="163" t="n">
        <x:v>15260</x:v>
      </x:c>
      <x:c r="G247" s="145" t="n">
        <x:v>0.02245292848554301</x:v>
      </x:c>
      <x:c r="H247" s="145" t="n">
        <x:v>0.11191344872592794</x:v>
      </x:c>
      <x:c r="I247" s="136" t="str">
        <x:v>POSITIVE-MODEL-MARGIN</x:v>
      </x:c>
      <x:c r="J247" s="136" t="str">
        <x:v>V0.7-CONTROLLED-RESEARCH-SCREEN-NOT-DISTRIBUTION</x:v>
      </x:c>
    </x:row>
    <x:row r="248" ht="22" customHeight="1">
      <x:c r="A248" s="137" t="str">
        <x:v>SCR-0243</x:v>
      </x:c>
      <x:c r="B248" s="142" t="n">
        <x:v>3.4358974358974356e-7</x:v>
      </x:c>
      <x:c r="C248" s="142" t="n">
        <x:v>0.014076923076923077</x:v>
      </x:c>
      <x:c r="D248" s="160" t="n">
        <x:v>103</x:v>
      </x:c>
      <x:c r="E248" s="162" t="n">
        <x:v>13711.791380861327</x:v>
      </x:c>
      <x:c r="F248" s="162" t="n">
        <x:v>13711</x:v>
      </x:c>
      <x:c r="G248" s="144" t="n">
        <x:v>0.02271260875161231</x:v>
      </x:c>
      <x:c r="H248" s="144" t="n">
        <x:v>0.11324190870203209</x:v>
      </x:c>
      <x:c r="I248" s="137" t="str">
        <x:v>POSITIVE-MODEL-MARGIN</x:v>
      </x:c>
      <x:c r="J248" s="137" t="str">
        <x:v>V0.7-CONTROLLED-RESEARCH-SCREEN-NOT-DISTRIBUTION</x:v>
      </x:c>
    </x:row>
    <x:row r="249" ht="22" customHeight="1">
      <x:c r="A249" s="136" t="str">
        <x:v>SCR-0244</x:v>
      </x:c>
      <x:c r="B249" s="143" t="n">
        <x:v>3.4358974358974356e-7</x:v>
      </x:c>
      <x:c r="C249" s="143" t="n">
        <x:v>0.014384615384615385</x:v>
      </x:c>
      <x:c r="D249" s="161" t="n">
        <x:v>101</x:v>
      </x:c>
      <x:c r="E249" s="163" t="n">
        <x:v>12176.907026303674</x:v>
      </x:c>
      <x:c r="F249" s="163" t="n">
        <x:v>12176</x:v>
      </x:c>
      <x:c r="G249" s="145" t="n">
        <x:v>0.022930155726913235</x:v>
      </x:c>
      <x:c r="H249" s="145" t="n">
        <x:v>0.11459587911755355</x:v>
      </x:c>
      <x:c r="I249" s="136" t="str">
        <x:v>POSITIVE-MODEL-MARGIN</x:v>
      </x:c>
      <x:c r="J249" s="136" t="str">
        <x:v>V0.7-CONTROLLED-RESEARCH-SCREEN-NOT-DISTRIBUTION</x:v>
      </x:c>
    </x:row>
    <x:row r="250" ht="22" customHeight="1">
      <x:c r="A250" s="137" t="str">
        <x:v>SCR-0245</x:v>
      </x:c>
      <x:c r="B250" s="142" t="n">
        <x:v>3.4358974358974356e-7</x:v>
      </x:c>
      <x:c r="C250" s="142" t="n">
        <x:v>0.014692307692307692</x:v>
      </x:c>
      <x:c r="D250" s="160" t="n">
        <x:v>100</x:v>
      </x:c>
      <x:c r="E250" s="162" t="n">
        <x:v>10655.954086672853</x:v>
      </x:c>
      <x:c r="F250" s="162" t="n">
        <x:v>10655</x:v>
      </x:c>
      <x:c r="G250" s="144" t="n">
        <x:v>0.02319032113209879</x:v>
      </x:c>
      <x:c r="H250" s="144" t="n">
        <x:v>0.11594976777783428</x:v>
      </x:c>
      <x:c r="I250" s="137" t="str">
        <x:v>POSITIVE-MODEL-MARGIN</x:v>
      </x:c>
      <x:c r="J250" s="137" t="str">
        <x:v>V0.7-CONTROLLED-RESEARCH-SCREEN-NOT-DISTRIBUTION</x:v>
      </x:c>
    </x:row>
    <x:row r="251" ht="22" customHeight="1">
      <x:c r="A251" s="136" t="str">
        <x:v>SCR-0246</x:v>
      </x:c>
      <x:c r="B251" s="143" t="n">
        <x:v>3.4358974358974356e-7</x:v>
      </x:c>
      <x:c r="C251" s="143" t="n">
        <x:v>0.015</x:v>
      </x:c>
      <x:c r="D251" s="161" t="n">
        <x:v>99</x:v>
      </x:c>
      <x:c r="E251" s="163" t="n">
        <x:v>9149.957448435733</x:v>
      </x:c>
      <x:c r="F251" s="163" t="n">
        <x:v>9149</x:v>
      </x:c>
      <x:c r="G251" s="145" t="n">
        <x:v>0.02345062417496491</x:v>
      </x:c>
      <x:c r="H251" s="145" t="n">
        <x:v>0.11731269779148348</x:v>
      </x:c>
      <x:c r="I251" s="136" t="str">
        <x:v>POSITIVE-MODEL-MARGIN</x:v>
      </x:c>
      <x:c r="J251" s="136" t="str">
        <x:v>V0.7-CONTROLLED-RESEARCH-SCREEN-NOT-DISTRIBUTION</x:v>
      </x:c>
    </x:row>
    <x:row r="252" ht="22" customHeight="1">
      <x:c r="A252" s="137" t="str">
        <x:v>SCR-0247</x:v>
      </x:c>
      <x:c r="B252" s="142" t="n">
        <x:v>3.923076923076923e-7</x:v>
      </x:c>
      <x:c r="C252" s="142" t="n">
        <x:v>0.003</x:v>
      </x:c>
      <x:c r="D252" s="160" t="n">
        <x:v>122</x:v>
      </x:c>
      <x:c r="E252" s="162" t="n">
        <x:v>69660.36311833574</x:v>
      </x:c>
      <x:c r="F252" s="162" t="n">
        <x:v>69660</x:v>
      </x:c>
      <x:c r="G252" s="144" t="n">
        <x:v>0.013949013633638088</x:v>
      </x:c>
      <x:c r="H252" s="144" t="n">
        <x:v>0.07280725373306804</x:v>
      </x:c>
      <x:c r="I252" s="137" t="str">
        <x:v>POSITIVE-MODEL-MARGIN</x:v>
      </x:c>
      <x:c r="J252" s="137" t="str">
        <x:v>V0.7-CONTROLLED-RESEARCH-SCREEN-NOT-DISTRIBUTION</x:v>
      </x:c>
    </x:row>
    <x:row r="253" ht="22" customHeight="1">
      <x:c r="A253" s="136" t="str">
        <x:v>SCR-0248</x:v>
      </x:c>
      <x:c r="B253" s="143" t="n">
        <x:v>3.923076923076923e-7</x:v>
      </x:c>
      <x:c r="C253" s="143" t="n">
        <x:v>0.003307692307692308</x:v>
      </x:c>
      <x:c r="D253" s="161" t="n">
        <x:v>122</x:v>
      </x:c>
      <x:c r="E253" s="163" t="n">
        <x:v>67685.90296948013</x:v>
      </x:c>
      <x:c r="F253" s="163" t="n">
        <x:v>67685</x:v>
      </x:c>
      <x:c r="G253" s="145" t="n">
        <x:v>0.014249927962399567</x:v>
      </x:c>
      <x:c r="H253" s="145" t="n">
        <x:v>0.07415938832895103</x:v>
      </x:c>
      <x:c r="I253" s="136" t="str">
        <x:v>POSITIVE-MODEL-MARGIN</x:v>
      </x:c>
      <x:c r="J253" s="136" t="str">
        <x:v>V0.7-CONTROLLED-RESEARCH-SCREEN-NOT-DISTRIBUTION</x:v>
      </x:c>
    </x:row>
    <x:row r="254" ht="22" customHeight="1">
      <x:c r="A254" s="137" t="str">
        <x:v>SCR-0249</x:v>
      </x:c>
      <x:c r="B254" s="142" t="n">
        <x:v>3.923076923076923e-7</x:v>
      </x:c>
      <x:c r="C254" s="142" t="n">
        <x:v>0.0036153846153846154</x:v>
      </x:c>
      <x:c r="D254" s="160" t="n">
        <x:v>120</x:v>
      </x:c>
      <x:c r="E254" s="162" t="n">
        <x:v>65730.76040439017</x:v>
      </x:c>
      <x:c r="F254" s="162" t="n">
        <x:v>65730</x:v>
      </x:c>
      <x:c r="G254" s="144" t="n">
        <x:v>0.01444860549315387</x:v>
      </x:c>
      <x:c r="H254" s="144" t="n">
        <x:v>0.07523047735026461</x:v>
      </x:c>
      <x:c r="I254" s="137" t="str">
        <x:v>POSITIVE-MODEL-MARGIN</x:v>
      </x:c>
      <x:c r="J254" s="137" t="str">
        <x:v>V0.7-CONTROLLED-RESEARCH-SCREEN-NOT-DISTRIBUTION</x:v>
      </x:c>
    </x:row>
    <x:row r="255" ht="22" customHeight="1">
      <x:c r="A255" s="136" t="str">
        <x:v>SCR-0250</x:v>
      </x:c>
      <x:c r="B255" s="143" t="n">
        <x:v>3.923076923076923e-7</x:v>
      </x:c>
      <x:c r="C255" s="143" t="n">
        <x:v>0.003923076923076923</x:v>
      </x:c>
      <x:c r="D255" s="161" t="n">
        <x:v>120</x:v>
      </x:c>
      <x:c r="E255" s="163" t="n">
        <x:v>63787.08924613669</x:v>
      </x:c>
      <x:c r="F255" s="163" t="n">
        <x:v>63787</x:v>
      </x:c>
      <x:c r="G255" s="145" t="n">
        <x:v>0.01474958319515497</x:v>
      </x:c>
      <x:c r="H255" s="145" t="n">
        <x:v>0.07658172267487012</x:v>
      </x:c>
      <x:c r="I255" s="136" t="str">
        <x:v>POSITIVE-MODEL-MARGIN</x:v>
      </x:c>
      <x:c r="J255" s="136" t="str">
        <x:v>V0.7-CONTROLLED-RESEARCH-SCREEN-NOT-DISTRIBUTION</x:v>
      </x:c>
    </x:row>
    <x:row r="256" ht="22" customHeight="1">
      <x:c r="A256" s="137" t="str">
        <x:v>SCR-0251</x:v>
      </x:c>
      <x:c r="B256" s="142" t="n">
        <x:v>3.923076923076923e-7</x:v>
      </x:c>
      <x:c r="C256" s="142" t="n">
        <x:v>0.004230769230769231</x:v>
      </x:c>
      <x:c r="D256" s="160" t="n">
        <x:v>120</x:v>
      </x:c>
      <x:c r="E256" s="162" t="n">
        <x:v>61861.3059453298</x:v>
      </x:c>
      <x:c r="F256" s="162" t="n">
        <x:v>61861</x:v>
      </x:c>
      <x:c r="G256" s="144" t="n">
        <x:v>0.015050560897156066</x:v>
      </x:c>
      <x:c r="H256" s="144" t="n">
        <x:v>0.07793072602770494</x:v>
      </x:c>
      <x:c r="I256" s="137" t="str">
        <x:v>POSITIVE-MODEL-MARGIN</x:v>
      </x:c>
      <x:c r="J256" s="137" t="str">
        <x:v>V0.7-CONTROLLED-RESEARCH-SCREEN-NOT-DISTRIBUTION</x:v>
      </x:c>
    </x:row>
    <x:row r="257" ht="22" customHeight="1">
      <x:c r="A257" s="136" t="str">
        <x:v>SCR-0252</x:v>
      </x:c>
      <x:c r="B257" s="143" t="n">
        <x:v>3.923076923076923e-7</x:v>
      </x:c>
      <x:c r="C257" s="143" t="n">
        <x:v>0.004538461538461538</x:v>
      </x:c>
      <x:c r="D257" s="161" t="n">
        <x:v>119</x:v>
      </x:c>
      <x:c r="E257" s="163" t="n">
        <x:v>59949.727022078274</x:v>
      </x:c>
      <x:c r="F257" s="163" t="n">
        <x:v>59949</x:v>
      </x:c>
      <x:c r="G257" s="145" t="n">
        <x:v>0.01530060899612569</x:v>
      </x:c>
      <x:c r="H257" s="145" t="n">
        <x:v>0.07914675575742908</x:v>
      </x:c>
      <x:c r="I257" s="136" t="str">
        <x:v>POSITIVE-MODEL-MARGIN</x:v>
      </x:c>
      <x:c r="J257" s="136" t="str">
        <x:v>V0.7-CONTROLLED-RESEARCH-SCREEN-NOT-DISTRIBUTION</x:v>
      </x:c>
    </x:row>
    <x:row r="258" ht="22" customHeight="1">
      <x:c r="A258" s="137" t="str">
        <x:v>SCR-0253</x:v>
      </x:c>
      <x:c r="B258" s="142" t="n">
        <x:v>3.923076923076923e-7</x:v>
      </x:c>
      <x:c r="C258" s="142" t="n">
        <x:v>0.004846153846153846</x:v>
      </x:c>
      <x:c r="D258" s="160" t="n">
        <x:v>118</x:v>
      </x:c>
      <x:c r="E258" s="162" t="n">
        <x:v>58056.41566788259</x:v>
      </x:c>
      <x:c r="F258" s="162" t="n">
        <x:v>58056</x:v>
      </x:c>
      <x:c r="G258" s="144" t="n">
        <x:v>0.015550870143473438</x:v>
      </x:c>
      <x:c r="H258" s="144" t="n">
        <x:v>0.08036729955192828</x:v>
      </x:c>
      <x:c r="I258" s="137" t="str">
        <x:v>POSITIVE-MODEL-MARGIN</x:v>
      </x:c>
      <x:c r="J258" s="137" t="str">
        <x:v>V0.7-CONTROLLED-RESEARCH-SCREEN-NOT-DISTRIBUTION</x:v>
      </x:c>
    </x:row>
    <x:row r="259" ht="22" customHeight="1">
      <x:c r="A259" s="136" t="str">
        <x:v>SCR-0254</x:v>
      </x:c>
      <x:c r="B259" s="143" t="n">
        <x:v>3.923076923076923e-7</x:v>
      </x:c>
      <x:c r="C259" s="143" t="n">
        <x:v>0.005</x:v>
      </x:c>
      <x:c r="D259" s="161" t="n">
        <x:v>118</x:v>
      </x:c>
      <x:c r="E259" s="163" t="n">
        <x:v>57115.173665576316</x:v>
      </x:c>
      <x:c r="F259" s="163" t="n">
        <x:v>57115</x:v>
      </x:c>
      <x:c r="G259" s="145" t="n">
        <x:v>0.01570139057634077</x:v>
      </x:c>
      <x:c r="H259" s="145" t="n">
        <x:v>0.08104075525968568</x:v>
      </x:c>
      <x:c r="I259" s="136" t="str">
        <x:v>POSITIVE-MODEL-MARGIN</x:v>
      </x:c>
      <x:c r="J259" s="136" t="str">
        <x:v>V0.7-CONTROLLED-RESEARCH-SCREEN-NOT-DISTRIBUTION</x:v>
      </x:c>
    </x:row>
    <x:row r="260" ht="22" customHeight="1">
      <x:c r="A260" s="137" t="str">
        <x:v>SCR-0255</x:v>
      </x:c>
      <x:c r="B260" s="142" t="n">
        <x:v>3.923076923076923e-7</x:v>
      </x:c>
      <x:c r="C260" s="142" t="n">
        <x:v>0.005153846153846154</x:v>
      </x:c>
      <x:c r="D260" s="160" t="n">
        <x:v>118</x:v>
      </x:c>
      <x:c r="E260" s="162" t="n">
        <x:v>56177.115265037326</x:v>
      </x:c>
      <x:c r="F260" s="162" t="n">
        <x:v>56177</x:v>
      </x:c>
      <x:c r="G260" s="144" t="n">
        <x:v>0.015851911009208096</x:v>
      </x:c>
      <x:c r="H260" s="144" t="n">
        <x:v>0.08171369531245207</x:v>
      </x:c>
      <x:c r="I260" s="137" t="str">
        <x:v>POSITIVE-MODEL-MARGIN</x:v>
      </x:c>
      <x:c r="J260" s="137" t="str">
        <x:v>V0.7-CONTROLLED-RESEARCH-SCREEN-NOT-DISTRIBUTION</x:v>
      </x:c>
    </x:row>
    <x:row r="261" ht="22" customHeight="1">
      <x:c r="A261" s="136" t="str">
        <x:v>SCR-0256</x:v>
      </x:c>
      <x:c r="B261" s="143" t="n">
        <x:v>3.923076923076923e-7</x:v>
      </x:c>
      <x:c r="C261" s="143" t="n">
        <x:v>0.005461538461538462</x:v>
      </x:c>
      <x:c r="D261" s="161" t="n">
        <x:v>117</x:v>
      </x:c>
      <x:c r="E261" s="163" t="n">
        <x:v>54314.791342266355</x:v>
      </x:c>
      <x:c r="F261" s="163" t="n">
        <x:v>54314</x:v>
      </x:c>
      <x:c r="G261" s="145" t="n">
        <x:v>0.016102339820226432</x:v>
      </x:c>
      <x:c r="H261" s="145" t="n">
        <x:v>0.0829381334888103</x:v>
      </x:c>
      <x:c r="I261" s="136" t="str">
        <x:v>POSITIVE-MODEL-MARGIN</x:v>
      </x:c>
      <x:c r="J261" s="136" t="str">
        <x:v>V0.7-CONTROLLED-RESEARCH-SCREEN-NOT-DISTRIBUTION</x:v>
      </x:c>
    </x:row>
    <x:row r="262" ht="22" customHeight="1">
      <x:c r="A262" s="137" t="str">
        <x:v>SCR-0257</x:v>
      </x:c>
      <x:c r="B262" s="142" t="n">
        <x:v>3.923076923076923e-7</x:v>
      </x:c>
      <x:c r="C262" s="142" t="n">
        <x:v>0.0057692307692307696</x:v>
      </x:c>
      <x:c r="D262" s="160" t="n">
        <x:v>117</x:v>
      </x:c>
      <x:c r="E262" s="162" t="n">
        <x:v>52466.18251965095</x:v>
      </x:c>
      <x:c r="F262" s="162" t="n">
        <x:v>52466</x:v>
      </x:c>
      <x:c r="G262" s="144" t="n">
        <x:v>0.016403412175831904</x:v>
      </x:c>
      <x:c r="H262" s="144" t="n">
        <x:v>0.08428241755599823</x:v>
      </x:c>
      <x:c r="I262" s="137" t="str">
        <x:v>POSITIVE-MODEL-MARGIN</x:v>
      </x:c>
      <x:c r="J262" s="137" t="str">
        <x:v>V0.7-CONTROLLED-RESEARCH-SCREEN-NOT-DISTRIBUTION</x:v>
      </x:c>
    </x:row>
    <x:row r="263" ht="22" customHeight="1">
      <x:c r="A263" s="136" t="str">
        <x:v>SCR-0258</x:v>
      </x:c>
      <x:c r="B263" s="143" t="n">
        <x:v>3.923076923076923e-7</x:v>
      </x:c>
      <x:c r="C263" s="143" t="n">
        <x:v>0.006076923076923077</x:v>
      </x:c>
      <x:c r="D263" s="161" t="n">
        <x:v>116</x:v>
      </x:c>
      <x:c r="E263" s="163" t="n">
        <x:v>50630.11787696988</x:v>
      </x:c>
      <x:c r="F263" s="163" t="n">
        <x:v>50630</x:v>
      </x:c>
      <x:c r="G263" s="145" t="n">
        <x:v>0.016654002831642995</x:v>
      </x:c>
      <x:c r="H263" s="145" t="n">
        <x:v>0.08551104139870365</x:v>
      </x:c>
      <x:c r="I263" s="136" t="str">
        <x:v>POSITIVE-MODEL-MARGIN</x:v>
      </x:c>
      <x:c r="J263" s="136" t="str">
        <x:v>V0.7-CONTROLLED-RESEARCH-SCREEN-NOT-DISTRIBUTION</x:v>
      </x:c>
    </x:row>
    <x:row r="264" ht="22" customHeight="1">
      <x:c r="A264" s="137" t="str">
        <x:v>SCR-0259</x:v>
      </x:c>
      <x:c r="B264" s="142" t="n">
        <x:v>3.923076923076923e-7</x:v>
      </x:c>
      <x:c r="C264" s="142" t="n">
        <x:v>0.006384615384615384</x:v>
      </x:c>
      <x:c r="D264" s="160" t="n">
        <x:v>115</x:v>
      </x:c>
      <x:c r="E264" s="162" t="n">
        <x:v>48810.37674431799</x:v>
      </x:c>
      <x:c r="F264" s="162" t="n">
        <x:v>48810</x:v>
      </x:c>
      <x:c r="G264" s="144" t="n">
        <x:v>0.016904718065975436</x:v>
      </x:c>
      <x:c r="H264" s="144" t="n">
        <x:v>0.08674405487936439</x:v>
      </x:c>
      <x:c r="I264" s="137" t="str">
        <x:v>POSITIVE-MODEL-MARGIN</x:v>
      </x:c>
      <x:c r="J264" s="137" t="str">
        <x:v>V0.7-CONTROLLED-RESEARCH-SCREEN-NOT-DISTRIBUTION</x:v>
      </x:c>
    </x:row>
    <x:row r="265" ht="22" customHeight="1">
      <x:c r="A265" s="136" t="str">
        <x:v>SCR-0260</x:v>
      </x:c>
      <x:c r="B265" s="143" t="n">
        <x:v>3.923076923076923e-7</x:v>
      </x:c>
      <x:c r="C265" s="143" t="n">
        <x:v>0.006692307692307693</x:v>
      </x:c>
      <x:c r="D265" s="161" t="n">
        <x:v>115</x:v>
      </x:c>
      <x:c r="E265" s="163" t="n">
        <x:v>47005.04131914113</x:v>
      </x:c>
      <x:c r="F265" s="163" t="n">
        <x:v>47005</x:v>
      </x:c>
      <x:c r="G265" s="145" t="n">
        <x:v>0.017205853278929338</x:v>
      </x:c>
      <x:c r="H265" s="145" t="n">
        <x:v>0.08808649651368498</x:v>
      </x:c>
      <x:c r="I265" s="136" t="str">
        <x:v>POSITIVE-MODEL-MARGIN</x:v>
      </x:c>
      <x:c r="J265" s="136" t="str">
        <x:v>V0.7-CONTROLLED-RESEARCH-SCREEN-NOT-DISTRIBUTION</x:v>
      </x:c>
    </x:row>
    <x:row r="266" ht="22" customHeight="1">
      <x:c r="A266" s="137" t="str">
        <x:v>SCR-0261</x:v>
      </x:c>
      <x:c r="B266" s="142" t="n">
        <x:v>3.923076923076923e-7</x:v>
      </x:c>
      <x:c r="C266" s="142" t="n">
        <x:v>0.007</x:v>
      </x:c>
      <x:c r="D266" s="160" t="n">
        <x:v>114</x:v>
      </x:c>
      <x:c r="E266" s="162" t="n">
        <x:v>45216.26905089117</x:v>
      </x:c>
      <x:c r="F266" s="162" t="n">
        <x:v>45216</x:v>
      </x:c>
      <x:c r="G266" s="144" t="n">
        <x:v>0.01745678880836195</x:v>
      </x:c>
      <x:c r="H266" s="144" t="n">
        <x:v>0.08932484461442902</x:v>
      </x:c>
      <x:c r="I266" s="137" t="str">
        <x:v>POSITIVE-MODEL-MARGIN</x:v>
      </x:c>
      <x:c r="J266" s="137" t="str">
        <x:v>V0.7-CONTROLLED-RESEARCH-SCREEN-NOT-DISTRIBUTION</x:v>
      </x:c>
    </x:row>
    <x:row r="267" ht="22" customHeight="1">
      <x:c r="A267" s="136" t="str">
        <x:v>SCR-0262</x:v>
      </x:c>
      <x:c r="B267" s="143" t="n">
        <x:v>3.923076923076923e-7</x:v>
      </x:c>
      <x:c r="C267" s="143" t="n">
        <x:v>0.007307692307692308</x:v>
      </x:c>
      <x:c r="D267" s="161" t="n">
        <x:v>113</x:v>
      </x:c>
      <x:c r="E267" s="163" t="n">
        <x:v>43440.93003765186</x:v>
      </x:c>
      <x:c r="F267" s="163" t="n">
        <x:v>43440</x:v>
      </x:c>
      <x:c r="G267" s="145" t="n">
        <x:v>0.017707906934843504</x:v>
      </x:c>
      <x:c r="H267" s="145" t="n">
        <x:v>0.09056859604996785</x:v>
      </x:c>
      <x:c r="I267" s="136" t="str">
        <x:v>POSITIVE-MODEL-MARGIN</x:v>
      </x:c>
      <x:c r="J267" s="136" t="str">
        <x:v>V0.7-CONTROLLED-RESEARCH-SCREEN-NOT-DISTRIBUTION</x:v>
      </x:c>
    </x:row>
    <x:row r="268" ht="22" customHeight="1">
      <x:c r="A268" s="137" t="str">
        <x:v>SCR-0263</x:v>
      </x:c>
      <x:c r="B268" s="142" t="n">
        <x:v>3.923076923076923e-7</x:v>
      </x:c>
      <x:c r="C268" s="142" t="n">
        <x:v>0.007615384615384616</x:v>
      </x:c>
      <x:c r="D268" s="160" t="n">
        <x:v>112</x:v>
      </x:c>
      <x:c r="E268" s="162" t="n">
        <x:v>41681.6264567948</x:v>
      </x:c>
      <x:c r="F268" s="162" t="n">
        <x:v>41681</x:v>
      </x:c>
      <x:c r="G268" s="144" t="n">
        <x:v>0.017959131427155665</x:v>
      </x:c>
      <x:c r="H268" s="144" t="n">
        <x:v>0.09181721697547823</x:v>
      </x:c>
      <x:c r="I268" s="137" t="str">
        <x:v>POSITIVE-MODEL-MARGIN</x:v>
      </x:c>
      <x:c r="J268" s="137" t="str">
        <x:v>V0.7-CONTROLLED-RESEARCH-SCREEN-NOT-DISTRIBUTION</x:v>
      </x:c>
    </x:row>
    <x:row r="269" ht="22" customHeight="1">
      <x:c r="A269" s="136" t="str">
        <x:v>SCR-0264</x:v>
      </x:c>
      <x:c r="B269" s="143" t="n">
        <x:v>3.923076923076923e-7</x:v>
      </x:c>
      <x:c r="C269" s="143" t="n">
        <x:v>0.007923076923076923</x:v>
      </x:c>
      <x:c r="D269" s="161" t="n">
        <x:v>112</x:v>
      </x:c>
      <x:c r="E269" s="163" t="n">
        <x:v>39934.78806098803</x:v>
      </x:c>
      <x:c r="F269" s="163" t="n">
        <x:v>39934</x:v>
      </x:c>
      <x:c r="G269" s="145" t="n">
        <x:v>0.018260360455207368</x:v>
      </x:c>
      <x:c r="H269" s="145" t="n">
        <x:v>0.09315854124857682</x:v>
      </x:c>
      <x:c r="I269" s="136" t="str">
        <x:v>POSITIVE-MODEL-MARGIN</x:v>
      </x:c>
      <x:c r="J269" s="136" t="str">
        <x:v>V0.7-CONTROLLED-RESEARCH-SCREEN-NOT-DISTRIBUTION</x:v>
      </x:c>
    </x:row>
    <x:row r="270" ht="22" customHeight="1">
      <x:c r="A270" s="137" t="str">
        <x:v>SCR-0265</x:v>
      </x:c>
      <x:c r="B270" s="142" t="n">
        <x:v>3.923076923076923e-7</x:v>
      </x:c>
      <x:c r="C270" s="142" t="n">
        <x:v>0.00823076923076923</x:v>
      </x:c>
      <x:c r="D270" s="160" t="n">
        <x:v>111</x:v>
      </x:c>
      <x:c r="E270" s="162" t="n">
        <x:v>38201.63385717253</x:v>
      </x:c>
      <x:c r="F270" s="162" t="n">
        <x:v>38201</x:v>
      </x:c>
      <x:c r="G270" s="144" t="n">
        <x:v>0.018511786263244217</x:v>
      </x:c>
      <x:c r="H270" s="144" t="n">
        <x:v>0.09441322130855734</x:v>
      </x:c>
      <x:c r="I270" s="137" t="str">
        <x:v>POSITIVE-MODEL-MARGIN</x:v>
      </x:c>
      <x:c r="J270" s="137" t="str">
        <x:v>V0.7-CONTROLLED-RESEARCH-SCREEN-NOT-DISTRIBUTION</x:v>
      </x:c>
    </x:row>
    <x:row r="271" ht="22" customHeight="1">
      <x:c r="A271" s="136" t="str">
        <x:v>SCR-0266</x:v>
      </x:c>
      <x:c r="B271" s="143" t="n">
        <x:v>3.923076923076923e-7</x:v>
      </x:c>
      <x:c r="C271" s="143" t="n">
        <x:v>0.00853846153846154</x:v>
      </x:c>
      <x:c r="D271" s="161" t="n">
        <x:v>111</x:v>
      </x:c>
      <x:c r="E271" s="163" t="n">
        <x:v>36478.082837060654</x:v>
      </x:c>
      <x:c r="F271" s="163" t="n">
        <x:v>36478</x:v>
      </x:c>
      <x:c r="G271" s="145" t="n">
        <x:v>0.018813046452415744</x:v>
      </x:c>
      <x:c r="H271" s="145" t="n">
        <x:v>0.0957532328406708</x:v>
      </x:c>
      <x:c r="I271" s="136" t="str">
        <x:v>POSITIVE-MODEL-MARGIN</x:v>
      </x:c>
      <x:c r="J271" s="136" t="str">
        <x:v>V0.7-CONTROLLED-RESEARCH-SCREEN-NOT-DISTRIBUTION</x:v>
      </x:c>
    </x:row>
    <x:row r="272" ht="22" customHeight="1">
      <x:c r="A272" s="137" t="str">
        <x:v>SCR-0267</x:v>
      </x:c>
      <x:c r="B272" s="142" t="n">
        <x:v>3.923076923076923e-7</x:v>
      </x:c>
      <x:c r="C272" s="142" t="n">
        <x:v>0.008846153846153847</x:v>
      </x:c>
      <x:c r="D272" s="160" t="n">
        <x:v>109</x:v>
      </x:c>
      <x:c r="E272" s="162" t="n">
        <x:v>34776.59113511624</x:v>
      </x:c>
      <x:c r="F272" s="162" t="n">
        <x:v>34776</x:v>
      </x:c>
      <x:c r="G272" s="144" t="n">
        <x:v>0.0190151918709489</x:v>
      </x:c>
      <x:c r="H272" s="144" t="n">
        <x:v>0.09694122645627726</x:v>
      </x:c>
      <x:c r="I272" s="137" t="str">
        <x:v>POSITIVE-MODEL-MARGIN</x:v>
      </x:c>
      <x:c r="J272" s="137" t="str">
        <x:v>V0.7-CONTROLLED-RESEARCH-SCREEN-NOT-DISTRIBUTION</x:v>
      </x:c>
    </x:row>
    <x:row r="273" ht="22" customHeight="1">
      <x:c r="A273" s="136" t="str">
        <x:v>SCR-0268</x:v>
      </x:c>
      <x:c r="B273" s="143" t="n">
        <x:v>3.923076923076923e-7</x:v>
      </x:c>
      <x:c r="C273" s="143" t="n">
        <x:v>0.009153846153846155</x:v>
      </x:c>
      <x:c r="D273" s="161" t="n">
        <x:v>109</x:v>
      </x:c>
      <x:c r="E273" s="163" t="n">
        <x:v>33085.791642046875</x:v>
      </x:c>
      <x:c r="F273" s="163" t="n">
        <x:v>33085</x:v>
      </x:c>
      <x:c r="G273" s="145" t="n">
        <x:v>0.01931651415243042</x:v>
      </x:c>
      <x:c r="H273" s="145" t="n">
        <x:v>0.09828219525515146</x:v>
      </x:c>
      <x:c r="I273" s="136" t="str">
        <x:v>POSITIVE-MODEL-MARGIN</x:v>
      </x:c>
      <x:c r="J273" s="136" t="str">
        <x:v>V0.7-CONTROLLED-RESEARCH-SCREEN-NOT-DISTRIBUTION</x:v>
      </x:c>
    </x:row>
    <x:row r="274" ht="22" customHeight="1">
      <x:c r="A274" s="137" t="str">
        <x:v>SCR-0269</x:v>
      </x:c>
      <x:c r="B274" s="142" t="n">
        <x:v>3.923076923076923e-7</x:v>
      </x:c>
      <x:c r="C274" s="142" t="n">
        <x:v>0.009461538461538462</x:v>
      </x:c>
      <x:c r="D274" s="160" t="n">
        <x:v>108</x:v>
      </x:c>
      <x:c r="E274" s="162" t="n">
        <x:v>31406.201323519115</x:v>
      </x:c>
      <x:c r="F274" s="162" t="n">
        <x:v>31406</x:v>
      </x:c>
      <x:c r="G274" s="144" t="n">
        <x:v>0.019568511646763008</x:v>
      </x:c>
      <x:c r="H274" s="144" t="n">
        <x:v>0.09955644002320152</x:v>
      </x:c>
      <x:c r="I274" s="137" t="str">
        <x:v>POSITIVE-MODEL-MARGIN</x:v>
      </x:c>
      <x:c r="J274" s="137" t="str">
        <x:v>V0.7-CONTROLLED-RESEARCH-SCREEN-NOT-DISTRIBUTION</x:v>
      </x:c>
    </x:row>
    <x:row r="275" ht="22" customHeight="1">
      <x:c r="A275" s="136" t="str">
        <x:v>SCR-0270</x:v>
      </x:c>
      <x:c r="B275" s="143" t="n">
        <x:v>3.923076923076923e-7</x:v>
      </x:c>
      <x:c r="C275" s="143" t="n">
        <x:v>0.00976923076923077</x:v>
      </x:c>
      <x:c r="D275" s="161" t="n">
        <x:v>107</x:v>
      </x:c>
      <x:c r="E275" s="163" t="n">
        <x:v>29739.83842473412</x:v>
      </x:c>
      <x:c r="F275" s="163" t="n">
        <x:v>29739</x:v>
      </x:c>
      <x:c r="G275" s="145" t="n">
        <x:v>0.01982065292485508</x:v>
      </x:c>
      <x:c r="H275" s="145" t="n">
        <x:v>0.10083719047337283</x:v>
      </x:c>
      <x:c r="I275" s="136" t="str">
        <x:v>POSITIVE-MODEL-MARGIN</x:v>
      </x:c>
      <x:c r="J275" s="136" t="str">
        <x:v>V0.7-CONTROLLED-RESEARCH-SCREEN-NOT-DISTRIBUTION</x:v>
      </x:c>
    </x:row>
    <x:row r="276" ht="22" customHeight="1">
      <x:c r="A276" s="137" t="str">
        <x:v>SCR-0271</x:v>
      </x:c>
      <x:c r="B276" s="142" t="n">
        <x:v>3.923076923076923e-7</x:v>
      </x:c>
      <x:c r="C276" s="142" t="n">
        <x:v>0.010076923076923077</x:v>
      </x:c>
      <x:c r="D276" s="160" t="n">
        <x:v>105</x:v>
      </x:c>
      <x:c r="E276" s="162" t="n">
        <x:v>28089.397070722818</x:v>
      </x:c>
      <x:c r="F276" s="162" t="n">
        <x:v>28089</x:v>
      </x:c>
      <x:c r="G276" s="144" t="n">
        <x:v>0.02002403252466896</x:v>
      </x:c>
      <x:c r="H276" s="144" t="n">
        <x:v>0.10207435914519816</x:v>
      </x:c>
      <x:c r="I276" s="137" t="str">
        <x:v>POSITIVE-MODEL-MARGIN</x:v>
      </x:c>
      <x:c r="J276" s="137" t="str">
        <x:v>V0.7-CONTROLLED-RESEARCH-SCREEN-NOT-DISTRIBUTION</x:v>
      </x:c>
    </x:row>
    <x:row r="277" ht="22" customHeight="1">
      <x:c r="A277" s="136" t="str">
        <x:v>SCR-0272</x:v>
      </x:c>
      <x:c r="B277" s="143" t="n">
        <x:v>3.923076923076923e-7</x:v>
      </x:c>
      <x:c r="C277" s="143" t="n">
        <x:v>0.010384615384615384</x:v>
      </x:c>
      <x:c r="D277" s="161" t="n">
        <x:v>105</x:v>
      </x:c>
      <x:c r="E277" s="163" t="n">
        <x:v>26454.969196281574</x:v>
      </x:c>
      <x:c r="F277" s="163" t="n">
        <x:v>26454</x:v>
      </x:c>
      <x:c r="G277" s="145" t="n">
        <x:v>0.02032547818415614</x:v>
      </x:c>
      <x:c r="H277" s="145" t="n">
        <x:v>0.10341796290169619</x:v>
      </x:c>
      <x:c r="I277" s="136" t="str">
        <x:v>POSITIVE-MODEL-MARGIN</x:v>
      </x:c>
      <x:c r="J277" s="136" t="str">
        <x:v>V0.7-CONTROLLED-RESEARCH-SCREEN-NOT-DISTRIBUTION</x:v>
      </x:c>
    </x:row>
    <x:row r="278" ht="22" customHeight="1">
      <x:c r="A278" s="137" t="str">
        <x:v>SCR-0273</x:v>
      </x:c>
      <x:c r="B278" s="142" t="n">
        <x:v>3.923076923076923e-7</x:v>
      </x:c>
      <x:c r="C278" s="142" t="n">
        <x:v>0.010692307692307692</x:v>
      </x:c>
      <x:c r="D278" s="160" t="n">
        <x:v>104</x:v>
      </x:c>
      <x:c r="E278" s="162" t="n">
        <x:v>24833.828656917325</x:v>
      </x:c>
      <x:c r="F278" s="162" t="n">
        <x:v>24833</x:v>
      </x:c>
      <x:c r="G278" s="144" t="n">
        <x:v>0.0205781482605935</x:v>
      </x:c>
      <x:c r="H278" s="144" t="n">
        <x:v>0.10471623451436485</x:v>
      </x:c>
      <x:c r="I278" s="137" t="str">
        <x:v>POSITIVE-MODEL-MARGIN</x:v>
      </x:c>
      <x:c r="J278" s="137" t="str">
        <x:v>V0.7-CONTROLLED-RESEARCH-SCREEN-NOT-DISTRIBUTION</x:v>
      </x:c>
    </x:row>
    <x:row r="279" ht="22" customHeight="1">
      <x:c r="A279" s="136" t="str">
        <x:v>SCR-0274</x:v>
      </x:c>
      <x:c r="B279" s="143" t="n">
        <x:v>3.923076923076923e-7</x:v>
      </x:c>
      <x:c r="C279" s="143" t="n">
        <x:v>0.011</x:v>
      </x:c>
      <x:c r="D279" s="161" t="n">
        <x:v>103</x:v>
      </x:c>
      <x:c r="E279" s="163" t="n">
        <x:v>23227.434147848213</x:v>
      </x:c>
      <x:c r="F279" s="163" t="n">
        <x:v>23227</x:v>
      </x:c>
      <x:c r="G279" s="145" t="n">
        <x:v>0.020831003528356398</x:v>
      </x:c>
      <x:c r="H279" s="145" t="n">
        <x:v>0.10602240076665728</x:v>
      </x:c>
      <x:c r="I279" s="136" t="str">
        <x:v>POSITIVE-MODEL-MARGIN</x:v>
      </x:c>
      <x:c r="J279" s="136" t="str">
        <x:v>V0.7-CONTROLLED-RESEARCH-SCREEN-NOT-DISTRIBUTION</x:v>
      </x:c>
    </x:row>
    <x:row r="280" ht="22" customHeight="1">
      <x:c r="A280" s="137" t="str">
        <x:v>SCR-0275</x:v>
      </x:c>
      <x:c r="B280" s="142" t="n">
        <x:v>3.923076923076923e-7</x:v>
      </x:c>
      <x:c r="C280" s="142" t="n">
        <x:v>0.011307692307692307</x:v>
      </x:c>
      <x:c r="D280" s="160" t="n">
        <x:v>103</x:v>
      </x:c>
      <x:c r="E280" s="162" t="n">
        <x:v>21633.595016929747</x:v>
      </x:c>
      <x:c r="F280" s="162" t="n">
        <x:v>21633</x:v>
      </x:c>
      <x:c r="G280" s="144" t="n">
        <x:v>0.0211325104532536</x:v>
      </x:c>
      <x:c r="H280" s="144" t="n">
        <x:v>0.10736615094462147</x:v>
      </x:c>
      <x:c r="I280" s="137" t="str">
        <x:v>POSITIVE-MODEL-MARGIN</x:v>
      </x:c>
      <x:c r="J280" s="137" t="str">
        <x:v>V0.7-CONTROLLED-RESEARCH-SCREEN-NOT-DISTRIBUTION</x:v>
      </x:c>
    </x:row>
    <x:row r="281" ht="22" customHeight="1">
      <x:c r="A281" s="136" t="str">
        <x:v>SCR-0276</x:v>
      </x:c>
      <x:c r="B281" s="143" t="n">
        <x:v>3.923076923076923e-7</x:v>
      </x:c>
      <x:c r="C281" s="143" t="n">
        <x:v>0.011615384615384614</x:v>
      </x:c>
      <x:c r="D281" s="161" t="n">
        <x:v>101</x:v>
      </x:c>
      <x:c r="E281" s="163" t="n">
        <x:v>20055.17807218331</x:v>
      </x:c>
      <x:c r="F281" s="163" t="n">
        <x:v>20055</x:v>
      </x:c>
      <x:c r="G281" s="145" t="n">
        <x:v>0.02133724074268816</x:v>
      </x:c>
      <x:c r="H281" s="145" t="n">
        <x:v>0.10865931759413157</x:v>
      </x:c>
      <x:c r="I281" s="136" t="str">
        <x:v>POSITIVE-MODEL-MARGIN</x:v>
      </x:c>
      <x:c r="J281" s="136" t="str">
        <x:v>V0.7-CONTROLLED-RESEARCH-SCREEN-NOT-DISTRIBUTION</x:v>
      </x:c>
    </x:row>
    <x:row r="282" ht="22" customHeight="1">
      <x:c r="A282" s="137" t="str">
        <x:v>SCR-0277</x:v>
      </x:c>
      <x:c r="B282" s="142" t="n">
        <x:v>3.923076923076923e-7</x:v>
      </x:c>
      <x:c r="C282" s="142" t="n">
        <x:v>0.011923076923076925</x:v>
      </x:c>
      <x:c r="D282" s="160" t="n">
        <x:v>101</x:v>
      </x:c>
      <x:c r="E282" s="162" t="n">
        <x:v>18488.35724176899</x:v>
      </x:c>
      <x:c r="F282" s="162" t="n">
        <x:v>18488</x:v>
      </x:c>
      <x:c r="G282" s="144" t="n">
        <x:v>0.02163880863889626</x:v>
      </x:c>
      <x:c r="H282" s="144" t="n">
        <x:v>0.11000497831791486</x:v>
      </x:c>
      <x:c r="I282" s="137" t="str">
        <x:v>POSITIVE-MODEL-MARGIN</x:v>
      </x:c>
      <x:c r="J282" s="137" t="str">
        <x:v>V0.7-CONTROLLED-RESEARCH-SCREEN-NOT-DISTRIBUTION</x:v>
      </x:c>
    </x:row>
    <x:row r="283" ht="22" customHeight="1">
      <x:c r="A283" s="136" t="str">
        <x:v>SCR-0278</x:v>
      </x:c>
      <x:c r="B283" s="143" t="n">
        <x:v>3.923076923076923e-7</x:v>
      </x:c>
      <x:c r="C283" s="143" t="n">
        <x:v>0.012230769230769233</x:v>
      </x:c>
      <x:c r="D283" s="161" t="n">
        <x:v>99</x:v>
      </x:c>
      <x:c r="E283" s="163" t="n">
        <x:v>16933.75139039943</x:v>
      </x:c>
      <x:c r="F283" s="163" t="n">
        <x:v>16933</x:v>
      </x:c>
      <x:c r="G283" s="145" t="n">
        <x:v>0.021844268261126162</x:v>
      </x:c>
      <x:c r="H283" s="145" t="n">
        <x:v>0.1113321802328421</x:v>
      </x:c>
      <x:c r="I283" s="136" t="str">
        <x:v>POSITIVE-MODEL-MARGIN</x:v>
      </x:c>
      <x:c r="J283" s="136" t="str">
        <x:v>V0.7-CONTROLLED-RESEARCH-SCREEN-NOT-DISTRIBUTION</x:v>
      </x:c>
    </x:row>
    <x:row r="284" ht="22" customHeight="1">
      <x:c r="A284" s="137" t="str">
        <x:v>SCR-0279</x:v>
      </x:c>
      <x:c r="B284" s="142" t="n">
        <x:v>3.923076923076923e-7</x:v>
      </x:c>
      <x:c r="C284" s="142" t="n">
        <x:v>0.01253846153846154</x:v>
      </x:c>
      <x:c r="D284" s="160" t="n">
        <x:v>99</x:v>
      </x:c>
      <x:c r="E284" s="162" t="n">
        <x:v>15393.675462737203</x:v>
      </x:c>
      <x:c r="F284" s="162" t="n">
        <x:v>15393</x:v>
      </x:c>
      <x:c r="G284" s="144" t="n">
        <x:v>0.02214589678395548</x:v>
      </x:c>
      <x:c r="H284" s="144" t="n">
        <x:v>0.1126800323487614</x:v>
      </x:c>
      <x:c r="I284" s="137" t="str">
        <x:v>POSITIVE-MODEL-MARGIN</x:v>
      </x:c>
      <x:c r="J284" s="137" t="str">
        <x:v>V0.7-CONTROLLED-RESEARCH-SCREEN-NOT-DISTRIBUTION</x:v>
      </x:c>
    </x:row>
    <x:row r="285" ht="22" customHeight="1">
      <x:c r="A285" s="136" t="str">
        <x:v>SCR-0280</x:v>
      </x:c>
      <x:c r="B285" s="143" t="n">
        <x:v>3.923076923076923e-7</x:v>
      </x:c>
      <x:c r="C285" s="143" t="n">
        <x:v>0.012846153846153847</x:v>
      </x:c>
      <x:c r="D285" s="161" t="n">
        <x:v>98</x:v>
      </x:c>
      <x:c r="E285" s="163" t="n">
        <x:v>13871.950419610675</x:v>
      </x:c>
      <x:c r="F285" s="163" t="n">
        <x:v>13871</x:v>
      </x:c>
      <x:c r="G285" s="145" t="n">
        <x:v>0.022399735301859538</x:v>
      </x:c>
      <x:c r="H285" s="145" t="n">
        <x:v>0.11403200557770367</x:v>
      </x:c>
      <x:c r="I285" s="136" t="str">
        <x:v>POSITIVE-MODEL-MARGIN</x:v>
      </x:c>
      <x:c r="J285" s="136" t="str">
        <x:v>V0.7-CONTROLLED-RESEARCH-SCREEN-NOT-DISTRIBUTION</x:v>
      </x:c>
    </x:row>
    <x:row r="286" ht="22" customHeight="1">
      <x:c r="A286" s="137" t="str">
        <x:v>SCR-0281</x:v>
      </x:c>
      <x:c r="B286" s="142" t="n">
        <x:v>3.923076923076923e-7</x:v>
      </x:c>
      <x:c r="C286" s="142" t="n">
        <x:v>0.013153846153846155</x:v>
      </x:c>
      <x:c r="D286" s="160" t="n">
        <x:v>97</x:v>
      </x:c>
      <x:c r="E286" s="162" t="n">
        <x:v>12359.033656393356</x:v>
      </x:c>
      <x:c r="F286" s="162" t="n">
        <x:v>12359</x:v>
      </x:c>
      <x:c r="G286" s="144" t="n">
        <x:v>0.022653782619684423</x:v>
      </x:c>
      <x:c r="H286" s="144" t="n">
        <x:v>0.11539425961107769</x:v>
      </x:c>
      <x:c r="I286" s="137" t="str">
        <x:v>POSITIVE-MODEL-MARGIN</x:v>
      </x:c>
      <x:c r="J286" s="137" t="str">
        <x:v>V0.7-CONTROLLED-RESEARCH-SCREEN-NOT-DISTRIBUTION</x:v>
      </x:c>
    </x:row>
    <x:row r="287" ht="22" customHeight="1">
      <x:c r="A287" s="136" t="str">
        <x:v>SCR-0282</x:v>
      </x:c>
      <x:c r="B287" s="143" t="n">
        <x:v>3.923076923076923e-7</x:v>
      </x:c>
      <x:c r="C287" s="143" t="n">
        <x:v>0.013461538461538462</x:v>
      </x:c>
      <x:c r="D287" s="161" t="n">
        <x:v>96</x:v>
      </x:c>
      <x:c r="E287" s="163" t="n">
        <x:v>10858.795218499672</x:v>
      </x:c>
      <x:c r="F287" s="163" t="n">
        <x:v>10858</x:v>
      </x:c>
      <x:c r="G287" s="145" t="n">
        <x:v>0.02290803088691949</x:v>
      </x:c>
      <x:c r="H287" s="145" t="n">
        <x:v>0.11676710065826726</x:v>
      </x:c>
      <x:c r="I287" s="136" t="str">
        <x:v>POSITIVE-MODEL-MARGIN</x:v>
      </x:c>
      <x:c r="J287" s="136" t="str">
        <x:v>V0.7-CONTROLLED-RESEARCH-SCREEN-NOT-DISTRIBUTION</x:v>
      </x:c>
    </x:row>
    <x:row r="288" ht="22" customHeight="1">
      <x:c r="A288" s="137" t="str">
        <x:v>SCR-0283</x:v>
      </x:c>
      <x:c r="B288" s="142" t="n">
        <x:v>3.923076923076923e-7</x:v>
      </x:c>
      <x:c r="C288" s="142" t="n">
        <x:v>0.01376923076923077</x:v>
      </x:c>
      <x:c r="D288" s="160" t="n">
        <x:v>95</x:v>
      </x:c>
      <x:c r="E288" s="162" t="n">
        <x:v>9375.060361306914</x:v>
      </x:c>
      <x:c r="F288" s="162" t="n">
        <x:v>9375</x:v>
      </x:c>
      <x:c r="G288" s="144" t="n">
        <x:v>0.02316247217806897</x:v>
      </x:c>
      <x:c r="H288" s="144" t="n">
        <x:v>0.11815084693557648</x:v>
      </x:c>
      <x:c r="I288" s="137" t="str">
        <x:v>POSITIVE-MODEL-MARGIN</x:v>
      </x:c>
      <x:c r="J288" s="137" t="str">
        <x:v>V0.7-CONTROLLED-RESEARCH-SCREEN-NOT-DISTRIBUTION</x:v>
      </x:c>
    </x:row>
    <x:row r="289" ht="22" customHeight="1">
      <x:c r="A289" s="136" t="str">
        <x:v>SCR-0284</x:v>
      </x:c>
      <x:c r="B289" s="143" t="n">
        <x:v>3.923076923076923e-7</x:v>
      </x:c>
      <x:c r="C289" s="143" t="n">
        <x:v>0.014076923076923077</x:v>
      </x:c>
      <x:c r="D289" s="161" t="n">
        <x:v>94</x:v>
      </x:c>
      <x:c r="E289" s="163" t="n">
        <x:v>7904.149475629372</x:v>
      </x:c>
      <x:c r="F289" s="163" t="n">
        <x:v>7904</x:v>
      </x:c>
      <x:c r="G289" s="145" t="n">
        <x:v>0.023417098485254063</x:v>
      </x:c>
      <x:c r="H289" s="145" t="n">
        <x:v>0.11954582929858949</x:v>
      </x:c>
      <x:c r="I289" s="136" t="str">
        <x:v>POSITIVE-MODEL-MARGIN</x:v>
      </x:c>
      <x:c r="J289" s="136" t="str">
        <x:v>V0.7-CONTROLLED-RESEARCH-SCREEN-NOT-DISTRIBUTION</x:v>
      </x:c>
    </x:row>
    <x:row r="290" ht="22" customHeight="1">
      <x:c r="A290" s="137" t="str">
        <x:v>SCR-0285</x:v>
      </x:c>
      <x:c r="B290" s="142" t="n">
        <x:v>3.923076923076923e-7</x:v>
      </x:c>
      <x:c r="C290" s="142" t="n">
        <x:v>0.014384615384615385</x:v>
      </x:c>
      <x:c r="D290" s="160" t="n">
        <x:v>93</x:v>
      </x:c>
      <x:c r="E290" s="162" t="n">
        <x:v>6447.570054263826</x:v>
      </x:c>
      <x:c r="F290" s="162" t="n">
        <x:v>6447</x:v>
      </x:c>
      <x:c r="G290" s="144" t="n">
        <x:v>0.023671969784966062</x:v>
      </x:c>
      <x:c r="H290" s="144" t="n">
        <x:v>0.12095325109853229</x:v>
      </x:c>
      <x:c r="I290" s="137" t="str">
        <x:v>POSITIVE-MODEL-MARGIN</x:v>
      </x:c>
      <x:c r="J290" s="137" t="str">
        <x:v>V0.7-CONTROLLED-RESEARCH-SCREEN-NOT-DISTRIBUTION</x:v>
      </x:c>
    </x:row>
    <x:row r="291" ht="22" customHeight="1">
      <x:c r="A291" s="136" t="str">
        <x:v>SCR-0286</x:v>
      </x:c>
      <x:c r="B291" s="143" t="n">
        <x:v>3.923076923076923e-7</x:v>
      </x:c>
      <x:c r="C291" s="143" t="n">
        <x:v>0.014692307692307692</x:v>
      </x:c>
      <x:c r="D291" s="161" t="n">
        <x:v>92</x:v>
      </x:c>
      <x:c r="E291" s="163" t="n">
        <x:v>5005.414818244306</x:v>
      </x:c>
      <x:c r="F291" s="163" t="n">
        <x:v>5005</x:v>
      </x:c>
      <x:c r="G291" s="145" t="n">
        <x:v>0.023927077770118203</x:v>
      </x:c>
      <x:c r="H291" s="145" t="n">
        <x:v>0.12237350396442476</x:v>
      </x:c>
      <x:c r="I291" s="136" t="str">
        <x:v>POSITIVE-MODEL-MARGIN</x:v>
      </x:c>
      <x:c r="J291" s="136" t="str">
        <x:v>V0.7-CONTROLLED-RESEARCH-SCREEN-NOT-DISTRIBUTION</x:v>
      </x:c>
    </x:row>
    <x:row r="292" ht="22" customHeight="1">
      <x:c r="A292" s="137" t="str">
        <x:v>SCR-0287</x:v>
      </x:c>
      <x:c r="B292" s="142" t="n">
        <x:v>3.923076923076923e-7</x:v>
      </x:c>
      <x:c r="C292" s="142" t="n">
        <x:v>0.015</x:v>
      </x:c>
      <x:c r="D292" s="160" t="n">
        <x:v>91</x:v>
      </x:c>
      <x:c r="E292" s="162" t="n">
        <x:v>3580.049939909808</x:v>
      </x:c>
      <x:c r="F292" s="162" t="n">
        <x:v>3580</x:v>
      </x:c>
      <x:c r="G292" s="144" t="n">
        <x:v>0.024182346054775972</x:v>
      </x:c>
      <x:c r="H292" s="144" t="n">
        <x:v>0.12380611463876096</x:v>
      </x:c>
      <x:c r="I292" s="137" t="str">
        <x:v>POSITIVE-MODEL-MARGIN</x:v>
      </x:c>
      <x:c r="J292" s="137" t="str">
        <x:v>V0.7-CONTROLLED-RESEARCH-SCREEN-NOT-DISTRIBUTION</x:v>
      </x:c>
    </x:row>
    <x:row r="293" ht="22" customHeight="1">
      <x:c r="A293" s="136" t="str">
        <x:v>SCR-0288</x:v>
      </x:c>
      <x:c r="B293" s="143" t="n">
        <x:v>4.41025641025641e-7</x:v>
      </x:c>
      <x:c r="C293" s="143" t="n">
        <x:v>0.003</x:v>
      </x:c>
      <x:c r="D293" s="161" t="n">
        <x:v>114</x:v>
      </x:c>
      <x:c r="E293" s="163" t="n">
        <x:v>61643.39099948982</x:v>
      </x:c>
      <x:c r="F293" s="163" t="n">
        <x:v>61643</x:v>
      </x:c>
      <x:c r="G293" s="145" t="n">
        <x:v>0.014760698119828643</x:v>
      </x:c>
      <x:c r="H293" s="145" t="n">
        <x:v>0.07794334863738513</x:v>
      </x:c>
      <x:c r="I293" s="136" t="str">
        <x:v>POSITIVE-MODEL-MARGIN</x:v>
      </x:c>
      <x:c r="J293" s="136" t="str">
        <x:v>V0.7-CONTROLLED-RESEARCH-SCREEN-NOT-DISTRIBUTION</x:v>
      </x:c>
    </x:row>
    <x:row r="294" ht="22" customHeight="1">
      <x:c r="A294" s="137" t="str">
        <x:v>SCR-0289</x:v>
      </x:c>
      <x:c r="B294" s="142" t="n">
        <x:v>4.41025641025641e-7</x:v>
      </x:c>
      <x:c r="C294" s="142" t="n">
        <x:v>0.003307692307692308</x:v>
      </x:c>
      <x:c r="D294" s="160" t="n">
        <x:v>113</x:v>
      </x:c>
      <x:c r="E294" s="162" t="n">
        <x:v>59754.56156981415</x:v>
      </x:c>
      <x:c r="F294" s="162" t="n">
        <x:v>59754</x:v>
      </x:c>
      <x:c r="G294" s="144" t="n">
        <x:v>0.015004672810995752</x:v>
      </x:c>
      <x:c r="H294" s="144" t="n">
        <x:v>0.07916629927032659</x:v>
      </x:c>
      <x:c r="I294" s="137" t="str">
        <x:v>POSITIVE-MODEL-MARGIN</x:v>
      </x:c>
      <x:c r="J294" s="137" t="str">
        <x:v>V0.7-CONTROLLED-RESEARCH-SCREEN-NOT-DISTRIBUTION</x:v>
      </x:c>
    </x:row>
    <x:row r="295" ht="22" customHeight="1">
      <x:c r="A295" s="136" t="str">
        <x:v>SCR-0290</x:v>
      </x:c>
      <x:c r="B295" s="143" t="n">
        <x:v>4.41025641025641e-7</x:v>
      </x:c>
      <x:c r="C295" s="143" t="n">
        <x:v>0.0036153846153846154</x:v>
      </x:c>
      <x:c r="D295" s="161" t="n">
        <x:v>113</x:v>
      </x:c>
      <x:c r="E295" s="163" t="n">
        <x:v>57881.3593868915</x:v>
      </x:c>
      <x:c r="F295" s="163" t="n">
        <x:v>57881</x:v>
      </x:c>
      <x:c r="G295" s="145" t="n">
        <x:v>0.01530511961745722</x:v>
      </x:c>
      <x:c r="H295" s="145" t="n">
        <x:v>0.08053408977044282</x:v>
      </x:c>
      <x:c r="I295" s="136" t="str">
        <x:v>POSITIVE-MODEL-MARGIN</x:v>
      </x:c>
      <x:c r="J295" s="136" t="str">
        <x:v>V0.7-CONTROLLED-RESEARCH-SCREEN-NOT-DISTRIBUTION</x:v>
      </x:c>
    </x:row>
    <x:row r="296" ht="22" customHeight="1">
      <x:c r="A296" s="137" t="str">
        <x:v>SCR-0291</x:v>
      </x:c>
      <x:c r="B296" s="142" t="n">
        <x:v>4.41025641025641e-7</x:v>
      </x:c>
      <x:c r="C296" s="142" t="n">
        <x:v>0.003923076923076923</x:v>
      </x:c>
      <x:c r="D296" s="160" t="n">
        <x:v>112</x:v>
      </x:c>
      <x:c r="E296" s="162" t="n">
        <x:v>56019.93614618185</x:v>
      </x:c>
      <x:c r="F296" s="162" t="n">
        <x:v>56019</x:v>
      </x:c>
      <x:c r="G296" s="144" t="n">
        <x:v>0.015549247197823522</x:v>
      </x:c>
      <x:c r="H296" s="144" t="n">
        <x:v>0.08176147503359536</x:v>
      </x:c>
      <x:c r="I296" s="137" t="str">
        <x:v>POSITIVE-MODEL-MARGIN</x:v>
      </x:c>
      <x:c r="J296" s="137" t="str">
        <x:v>V0.7-CONTROLLED-RESEARCH-SCREEN-NOT-DISTRIBUTION</x:v>
      </x:c>
    </x:row>
    <x:row r="297" ht="22" customHeight="1">
      <x:c r="A297" s="136" t="str">
        <x:v>SCR-0292</x:v>
      </x:c>
      <x:c r="B297" s="143" t="n">
        <x:v>4.41025641025641e-7</x:v>
      </x:c>
      <x:c r="C297" s="143" t="n">
        <x:v>0.004230769230769231</x:v>
      </x:c>
      <x:c r="D297" s="161" t="n">
        <x:v>112</x:v>
      </x:c>
      <x:c r="E297" s="163" t="n">
        <x:v>54178.09965026352</x:v>
      </x:c>
      <x:c r="F297" s="163" t="n">
        <x:v>54178</x:v>
      </x:c>
      <x:c r="G297" s="145" t="n">
        <x:v>0.015849728936383707</x:v>
      </x:c>
      <x:c r="H297" s="145" t="n">
        <x:v>0.08312716384987118</x:v>
      </x:c>
      <x:c r="I297" s="136" t="str">
        <x:v>POSITIVE-MODEL-MARGIN</x:v>
      </x:c>
      <x:c r="J297" s="136" t="str">
        <x:v>V0.7-CONTROLLED-RESEARCH-SCREEN-NOT-DISTRIBUTION</x:v>
      </x:c>
    </x:row>
    <x:row r="298" ht="22" customHeight="1">
      <x:c r="A298" s="137" t="str">
        <x:v>SCR-0293</x:v>
      </x:c>
      <x:c r="B298" s="142" t="n">
        <x:v>4.41025641025641e-7</x:v>
      </x:c>
      <x:c r="C298" s="142" t="n">
        <x:v>0.004538461538461538</x:v>
      </x:c>
      <x:c r="D298" s="160" t="n">
        <x:v>110</x:v>
      </x:c>
      <x:c r="E298" s="162" t="n">
        <x:v>52347.395278247</x:v>
      </x:c>
      <x:c r="F298" s="162" t="n">
        <x:v>52347</x:v>
      </x:c>
      <x:c r="G298" s="144" t="n">
        <x:v>0.016038064604769805</x:v>
      </x:c>
      <x:c r="H298" s="144" t="n">
        <x:v>0.08423234562631411</x:v>
      </x:c>
      <x:c r="I298" s="137" t="str">
        <x:v>POSITIVE-MODEL-MARGIN</x:v>
      </x:c>
      <x:c r="J298" s="137" t="str">
        <x:v>V0.7-CONTROLLED-RESEARCH-SCREEN-NOT-DISTRIBUTION</x:v>
      </x:c>
    </x:row>
    <x:row r="299" ht="22" customHeight="1">
      <x:c r="A299" s="136" t="str">
        <x:v>SCR-0294</x:v>
      </x:c>
      <x:c r="B299" s="143" t="n">
        <x:v>4.41025641025641e-7</x:v>
      </x:c>
      <x:c r="C299" s="143" t="n">
        <x:v>0.004846153846153846</x:v>
      </x:c>
      <x:c r="D299" s="161" t="n">
        <x:v>110</x:v>
      </x:c>
      <x:c r="E299" s="163" t="n">
        <x:v>50533.68128627246</x:v>
      </x:c>
      <x:c r="F299" s="163" t="n">
        <x:v>50533</x:v>
      </x:c>
      <x:c r="G299" s="145" t="n">
        <x:v>0.016338615988521724</x:v>
      </x:c>
      <x:c r="H299" s="145" t="n">
        <x:v>0.08559840584393175</x:v>
      </x:c>
      <x:c r="I299" s="136" t="str">
        <x:v>POSITIVE-MODEL-MARGIN</x:v>
      </x:c>
      <x:c r="J299" s="136" t="str">
        <x:v>V0.7-CONTROLLED-RESEARCH-SCREEN-NOT-DISTRIBUTION</x:v>
      </x:c>
    </x:row>
    <x:row r="300" ht="22" customHeight="1">
      <x:c r="A300" s="137" t="str">
        <x:v>SCR-0295</x:v>
      </x:c>
      <x:c r="B300" s="142" t="n">
        <x:v>4.41025641025641e-7</x:v>
      </x:c>
      <x:c r="C300" s="142" t="n">
        <x:v>0.005</x:v>
      </x:c>
      <x:c r="D300" s="160" t="n">
        <x:v>110</x:v>
      </x:c>
      <x:c r="E300" s="162" t="n">
        <x:v>49635.424832650984</x:v>
      </x:c>
      <x:c r="F300" s="162" t="n">
        <x:v>49635</x:v>
      </x:c>
      <x:c r="G300" s="144" t="n">
        <x:v>0.016488891680397685</x:v>
      </x:c>
      <x:c r="H300" s="144" t="n">
        <x:v>0.08628068007500858</x:v>
      </x:c>
      <x:c r="I300" s="137" t="str">
        <x:v>POSITIVE-MODEL-MARGIN</x:v>
      </x:c>
      <x:c r="J300" s="137" t="str">
        <x:v>V0.7-CONTROLLED-RESEARCH-SCREEN-NOT-DISTRIBUTION</x:v>
      </x:c>
    </x:row>
    <x:row r="301" ht="22" customHeight="1">
      <x:c r="A301" s="136" t="str">
        <x:v>SCR-0296</x:v>
      </x:c>
      <x:c r="B301" s="143" t="n">
        <x:v>4.41025641025641e-7</x:v>
      </x:c>
      <x:c r="C301" s="143" t="n">
        <x:v>0.005153846153846154</x:v>
      </x:c>
      <x:c r="D301" s="161" t="n">
        <x:v>110</x:v>
      </x:c>
      <x:c r="E301" s="163" t="n">
        <x:v>48736.04059816747</x:v>
      </x:c>
      <x:c r="F301" s="163" t="n">
        <x:v>48736</x:v>
      </x:c>
      <x:c r="G301" s="145" t="n">
        <x:v>0.016639167372273646</x:v>
      </x:c>
      <x:c r="H301" s="145" t="n">
        <x:v>0.08696245903511324</x:v>
      </x:c>
      <x:c r="I301" s="136" t="str">
        <x:v>POSITIVE-MODEL-MARGIN</x:v>
      </x:c>
      <x:c r="J301" s="136" t="str">
        <x:v>V0.7-CONTROLLED-RESEARCH-SCREEN-NOT-DISTRIBUTION</x:v>
      </x:c>
    </x:row>
    <x:row r="302" ht="22" customHeight="1">
      <x:c r="A302" s="137" t="str">
        <x:v>SCR-0297</x:v>
      </x:c>
      <x:c r="B302" s="142" t="n">
        <x:v>4.41025641025641e-7</x:v>
      </x:c>
      <x:c r="C302" s="142" t="n">
        <x:v>0.005461538461538462</x:v>
      </x:c>
      <x:c r="D302" s="160" t="n">
        <x:v>110</x:v>
      </x:c>
      <x:c r="E302" s="162" t="n">
        <x:v>46950.13180801596</x:v>
      </x:c>
      <x:c r="F302" s="162" t="n">
        <x:v>46950</x:v>
      </x:c>
      <x:c r="G302" s="144" t="n">
        <x:v>0.016939718756025565</x:v>
      </x:c>
      <x:c r="H302" s="144" t="n">
        <x:v>0.08832455621707372</x:v>
      </x:c>
      <x:c r="I302" s="137" t="str">
        <x:v>POSITIVE-MODEL-MARGIN</x:v>
      </x:c>
      <x:c r="J302" s="137" t="str">
        <x:v>V0.7-CONTROLLED-RESEARCH-SCREEN-NOT-DISTRIBUTION</x:v>
      </x:c>
    </x:row>
    <x:row r="303" ht="22" customHeight="1">
      <x:c r="A303" s="136" t="str">
        <x:v>SCR-0298</x:v>
      </x:c>
      <x:c r="B303" s="143" t="n">
        <x:v>4.41025641025641e-7</x:v>
      </x:c>
      <x:c r="C303" s="143" t="n">
        <x:v>0.0057692307692307696</x:v>
      </x:c>
      <x:c r="D303" s="161" t="n">
        <x:v>109</x:v>
      </x:c>
      <x:c r="E303" s="163" t="n">
        <x:v>45181.155918879354</x:v>
      </x:c>
      <x:c r="F303" s="163" t="n">
        <x:v>45181</x:v>
      </x:c>
      <x:c r="G303" s="145" t="n">
        <x:v>0.017184576441411734</x:v>
      </x:c>
      <x:c r="H303" s="145" t="n">
        <x:v>0.08957007669706923</x:v>
      </x:c>
      <x:c r="I303" s="136" t="str">
        <x:v>POSITIVE-MODEL-MARGIN</x:v>
      </x:c>
      <x:c r="J303" s="136" t="str">
        <x:v>V0.7-CONTROLLED-RESEARCH-SCREEN-NOT-DISTRIBUTION</x:v>
      </x:c>
    </x:row>
    <x:row r="304" ht="22" customHeight="1">
      <x:c r="A304" s="137" t="str">
        <x:v>SCR-0299</x:v>
      </x:c>
      <x:c r="B304" s="142" t="n">
        <x:v>4.41025641025641e-7</x:v>
      </x:c>
      <x:c r="C304" s="142" t="n">
        <x:v>0.006076923076923077</x:v>
      </x:c>
      <x:c r="D304" s="160" t="n">
        <x:v>108</x:v>
      </x:c>
      <x:c r="E304" s="162" t="n">
        <x:v>43425.70630031247</x:v>
      </x:c>
      <x:c r="F304" s="162" t="n">
        <x:v>43425</x:v>
      </x:c>
      <x:c r="G304" s="144" t="n">
        <x:v>0.017429601628996594</x:v>
      </x:c>
      <x:c r="H304" s="144" t="n">
        <x:v>0.09082161557870036</x:v>
      </x:c>
      <x:c r="I304" s="137" t="str">
        <x:v>POSITIVE-MODEL-MARGIN</x:v>
      </x:c>
      <x:c r="J304" s="137" t="str">
        <x:v>V0.7-CONTROLLED-RESEARCH-SCREEN-NOT-DISTRIBUTION</x:v>
      </x:c>
    </x:row>
    <x:row r="305" ht="22" customHeight="1">
      <x:c r="A305" s="136" t="str">
        <x:v>SCR-0300</x:v>
      </x:c>
      <x:c r="B305" s="143" t="n">
        <x:v>4.41025641025641e-7</x:v>
      </x:c>
      <x:c r="C305" s="143" t="n">
        <x:v>0.006384615384615384</x:v>
      </x:c>
      <x:c r="D305" s="161" t="n">
        <x:v>108</x:v>
      </x:c>
      <x:c r="E305" s="163" t="n">
        <x:v>41681.71745454631</x:v>
      </x:c>
      <x:c r="F305" s="163" t="n">
        <x:v>41681</x:v>
      </x:c>
      <x:c r="G305" s="145" t="n">
        <x:v>0.01773022229790274</x:v>
      </x:c>
      <x:c r="H305" s="145" t="n">
        <x:v>0.09218266562376624</x:v>
      </x:c>
      <x:c r="I305" s="136" t="str">
        <x:v>POSITIVE-MODEL-MARGIN</x:v>
      </x:c>
      <x:c r="J305" s="136" t="str">
        <x:v>V0.7-CONTROLLED-RESEARCH-SCREEN-NOT-DISTRIBUTION</x:v>
      </x:c>
    </x:row>
    <x:row r="306" ht="22" customHeight="1">
      <x:c r="A306" s="137" t="str">
        <x:v>SCR-0301</x:v>
      </x:c>
      <x:c r="B306" s="142" t="n">
        <x:v>4.41025641025641e-7</x:v>
      </x:c>
      <x:c r="C306" s="142" t="n">
        <x:v>0.006692307692307693</x:v>
      </x:c>
      <x:c r="D306" s="160" t="n">
        <x:v>107</x:v>
      </x:c>
      <x:c r="E306" s="162" t="n">
        <x:v>39952.80568264319</x:v>
      </x:c>
      <x:c r="F306" s="162" t="n">
        <x:v>39952</x:v>
      </x:c>
      <x:c r="G306" s="144" t="n">
        <x:v>0.017975442144523908</x:v>
      </x:c>
      <x:c r="H306" s="144" t="n">
        <x:v>0.09344092195914633</x:v>
      </x:c>
      <x:c r="I306" s="137" t="str">
        <x:v>POSITIVE-MODEL-MARGIN</x:v>
      </x:c>
      <x:c r="J306" s="137" t="str">
        <x:v>V0.7-CONTROLLED-RESEARCH-SCREEN-NOT-DISTRIBUTION</x:v>
      </x:c>
    </x:row>
    <x:row r="307" ht="22" customHeight="1">
      <x:c r="A307" s="136" t="str">
        <x:v>SCR-0302</x:v>
      </x:c>
      <x:c r="B307" s="143" t="n">
        <x:v>4.41025641025641e-7</x:v>
      </x:c>
      <x:c r="C307" s="143" t="n">
        <x:v>0.007</x:v>
      </x:c>
      <x:c r="D307" s="161" t="n">
        <x:v>106</x:v>
      </x:c>
      <x:c r="E307" s="163" t="n">
        <x:v>38242.6667995496</x:v>
      </x:c>
      <x:c r="F307" s="163" t="n">
        <x:v>38242</x:v>
      </x:c>
      <x:c r="G307" s="145" t="n">
        <x:v>0.018220892365211624</x:v>
      </x:c>
      <x:c r="H307" s="145" t="n">
        <x:v>0.09470636873196372</x:v>
      </x:c>
      <x:c r="I307" s="136" t="str">
        <x:v>POSITIVE-MODEL-MARGIN</x:v>
      </x:c>
      <x:c r="J307" s="136" t="str">
        <x:v>V0.7-CONTROLLED-RESEARCH-SCREEN-NOT-DISTRIBUTION</x:v>
      </x:c>
    </x:row>
    <x:row r="308" ht="22" customHeight="1">
      <x:c r="A308" s="137" t="str">
        <x:v>SCR-0303</x:v>
      </x:c>
      <x:c r="B308" s="142" t="n">
        <x:v>4.41025641025641e-7</x:v>
      </x:c>
      <x:c r="C308" s="142" t="n">
        <x:v>0.007307692307692308</x:v>
      </x:c>
      <x:c r="D308" s="160" t="n">
        <x:v>106</x:v>
      </x:c>
      <x:c r="E308" s="162" t="n">
        <x:v>36543.120593832915</x:v>
      </x:c>
      <x:c r="F308" s="162" t="n">
        <x:v>36543</x:v>
      </x:c>
      <x:c r="G308" s="144" t="n">
        <x:v>0.01852158204417826</x:v>
      </x:c>
      <x:c r="H308" s="144" t="n">
        <x:v>0.09606680445536865</x:v>
      </x:c>
      <x:c r="I308" s="137" t="str">
        <x:v>POSITIVE-MODEL-MARGIN</x:v>
      </x:c>
      <x:c r="J308" s="137" t="str">
        <x:v>V0.7-CONTROLLED-RESEARCH-SCREEN-NOT-DISTRIBUTION</x:v>
      </x:c>
    </x:row>
    <x:row r="309" ht="22" customHeight="1">
      <x:c r="A309" s="136" t="str">
        <x:v>SCR-0304</x:v>
      </x:c>
      <x:c r="B309" s="143" t="n">
        <x:v>4.41025641025641e-7</x:v>
      </x:c>
      <x:c r="C309" s="143" t="n">
        <x:v>0.007615384615384616</x:v>
      </x:c>
      <x:c r="D309" s="161" t="n">
        <x:v>105</x:v>
      </x:c>
      <x:c r="E309" s="163" t="n">
        <x:v>34858.988649384664</x:v>
      </x:c>
      <x:c r="F309" s="163" t="n">
        <x:v>34858</x:v>
      </x:c>
      <x:c r="G309" s="145" t="n">
        <x:v>0.018767211471349694</x:v>
      </x:c>
      <x:c r="H309" s="145" t="n">
        <x:v>0.09733956638218089</x:v>
      </x:c>
      <x:c r="I309" s="136" t="str">
        <x:v>POSITIVE-MODEL-MARGIN</x:v>
      </x:c>
      <x:c r="J309" s="136" t="str">
        <x:v>V0.7-CONTROLLED-RESEARCH-SCREEN-NOT-DISTRIBUTION</x:v>
      </x:c>
    </x:row>
    <x:row r="310" ht="22" customHeight="1">
      <x:c r="A310" s="137" t="str">
        <x:v>SCR-0305</x:v>
      </x:c>
      <x:c r="B310" s="142" t="n">
        <x:v>4.41025641025641e-7</x:v>
      </x:c>
      <x:c r="C310" s="142" t="n">
        <x:v>0.007923076923076923</x:v>
      </x:c>
      <x:c r="D310" s="160" t="n">
        <x:v>104</x:v>
      </x:c>
      <x:c r="E310" s="162" t="n">
        <x:v>33185.60255919358</x:v>
      </x:c>
      <x:c r="F310" s="162" t="n">
        <x:v>33185</x:v>
      </x:c>
      <x:c r="G310" s="144" t="n">
        <x:v>0.019013055554600814</x:v>
      </x:c>
      <x:c r="H310" s="144" t="n">
        <x:v>0.09861998180574806</x:v>
      </x:c>
      <x:c r="I310" s="137" t="str">
        <x:v>POSITIVE-MODEL-MARGIN</x:v>
      </x:c>
      <x:c r="J310" s="137" t="str">
        <x:v>V0.7-CONTROLLED-RESEARCH-SCREEN-NOT-DISTRIBUTION</x:v>
      </x:c>
    </x:row>
    <x:row r="311" ht="22" customHeight="1">
      <x:c r="A311" s="136" t="str">
        <x:v>SCR-0306</x:v>
      </x:c>
      <x:c r="B311" s="143" t="n">
        <x:v>4.41025641025641e-7</x:v>
      </x:c>
      <x:c r="C311" s="143" t="n">
        <x:v>0.00823076923076923</x:v>
      </x:c>
      <x:c r="D311" s="161" t="n">
        <x:v>103</x:v>
      </x:c>
      <x:c r="E311" s="163" t="n">
        <x:v>31526.953435430394</x:v>
      </x:c>
      <x:c r="F311" s="163" t="n">
        <x:v>31526</x:v>
      </x:c>
      <x:c r="G311" s="145" t="n">
        <x:v>0.019259106267704152</x:v>
      </x:c>
      <x:c r="H311" s="145" t="n">
        <x:v>0.09990826402101294</x:v>
      </x:c>
      <x:c r="I311" s="136" t="str">
        <x:v>POSITIVE-MODEL-MARGIN</x:v>
      </x:c>
      <x:c r="J311" s="136" t="str">
        <x:v>V0.7-CONTROLLED-RESEARCH-SCREEN-NOT-DISTRIBUTION</x:v>
      </x:c>
    </x:row>
    <x:row r="312" ht="22" customHeight="1">
      <x:c r="A312" s="137" t="str">
        <x:v>SCR-0307</x:v>
      </x:c>
      <x:c r="B312" s="142" t="n">
        <x:v>4.41025641025641e-7</x:v>
      </x:c>
      <x:c r="C312" s="142" t="n">
        <x:v>0.00853846153846154</x:v>
      </x:c>
      <x:c r="D312" s="160" t="n">
        <x:v>102</x:v>
      </x:c>
      <x:c r="E312" s="162" t="n">
        <x:v>29883.064757092598</x:v>
      </x:c>
      <x:c r="F312" s="162" t="n">
        <x:v>29883</x:v>
      </x:c>
      <x:c r="G312" s="144" t="n">
        <x:v>0.019505355515182926</x:v>
      </x:c>
      <x:c r="H312" s="144" t="n">
        <x:v>0.10120463335855023</x:v>
      </x:c>
      <x:c r="I312" s="137" t="str">
        <x:v>POSITIVE-MODEL-MARGIN</x:v>
      </x:c>
      <x:c r="J312" s="137" t="str">
        <x:v>V0.7-CONTROLLED-RESEARCH-SCREEN-NOT-DISTRIBUTION</x:v>
      </x:c>
    </x:row>
    <x:row r="313" ht="22" customHeight="1">
      <x:c r="A313" s="136" t="str">
        <x:v>SCR-0308</x:v>
      </x:c>
      <x:c r="B313" s="143" t="n">
        <x:v>4.41025641025641e-7</x:v>
      </x:c>
      <x:c r="C313" s="143" t="n">
        <x:v>0.008846153846153847</x:v>
      </x:c>
      <x:c r="D313" s="161" t="n">
        <x:v>102</x:v>
      </x:c>
      <x:c r="E313" s="163" t="n">
        <x:v>28251.00766847983</x:v>
      </x:c>
      <x:c r="F313" s="163" t="n">
        <x:v>28251</x:v>
      </x:c>
      <x:c r="G313" s="145" t="n">
        <x:v>0.019806182295693694</x:v>
      </x:c>
      <x:c r="H313" s="145" t="n">
        <x:v>0.10256666206981879</x:v>
      </x:c>
      <x:c r="I313" s="136" t="str">
        <x:v>POSITIVE-MODEL-MARGIN</x:v>
      </x:c>
      <x:c r="J313" s="136" t="str">
        <x:v>V0.7-CONTROLLED-RESEARCH-SCREEN-NOT-DISTRIBUTION</x:v>
      </x:c>
    </x:row>
    <x:row r="314" ht="22" customHeight="1">
      <x:c r="A314" s="137" t="str">
        <x:v>SCR-0309</x:v>
      </x:c>
      <x:c r="B314" s="142" t="n">
        <x:v>4.41025641025641e-7</x:v>
      </x:c>
      <x:c r="C314" s="142" t="n">
        <x:v>0.009153846153846155</x:v>
      </x:c>
      <x:c r="D314" s="160" t="n">
        <x:v>101</x:v>
      </x:c>
      <x:c r="E314" s="162" t="n">
        <x:v>26637.894007805186</x:v>
      </x:c>
      <x:c r="F314" s="162" t="n">
        <x:v>26637</x:v>
      </x:c>
      <x:c r="G314" s="144" t="n">
        <x:v>0.02005265597833272</x:v>
      </x:c>
      <x:c r="H314" s="144" t="n">
        <x:v>0.10387234853785002</x:v>
      </x:c>
      <x:c r="I314" s="137" t="str">
        <x:v>POSITIVE-MODEL-MARGIN</x:v>
      </x:c>
      <x:c r="J314" s="137" t="str">
        <x:v>V0.7-CONTROLLED-RESEARCH-SCREEN-NOT-DISTRIBUTION</x:v>
      </x:c>
    </x:row>
    <x:row r="315" ht="22" customHeight="1">
      <x:c r="A315" s="136" t="str">
        <x:v>SCR-0310</x:v>
      </x:c>
      <x:c r="B315" s="143" t="n">
        <x:v>4.41025641025641e-7</x:v>
      </x:c>
      <x:c r="C315" s="143" t="n">
        <x:v>0.009461538461538462</x:v>
      </x:c>
      <x:c r="D315" s="161" t="n">
        <x:v>101</x:v>
      </x:c>
      <x:c r="E315" s="163" t="n">
        <x:v>25031.22731916508</x:v>
      </x:c>
      <x:c r="F315" s="163" t="n">
        <x:v>25031</x:v>
      </x:c>
      <x:c r="G315" s="145" t="n">
        <x:v>0.020353516830711037</x:v>
      </x:c>
      <x:c r="H315" s="145" t="n">
        <x:v>0.10523382196906177</x:v>
      </x:c>
      <x:c r="I315" s="136" t="str">
        <x:v>POSITIVE-MODEL-MARGIN</x:v>
      </x:c>
      <x:c r="J315" s="136" t="str">
        <x:v>V0.7-CONTROLLED-RESEARCH-SCREEN-NOT-DISTRIBUTION</x:v>
      </x:c>
    </x:row>
    <x:row r="316" ht="22" customHeight="1">
      <x:c r="A316" s="137" t="str">
        <x:v>SCR-0311</x:v>
      </x:c>
      <x:c r="B316" s="142" t="n">
        <x:v>4.41025641025641e-7</x:v>
      </x:c>
      <x:c r="C316" s="142" t="n">
        <x:v>0.00976923076923077</x:v>
      </x:c>
      <x:c r="D316" s="160" t="n">
        <x:v>99</x:v>
      </x:c>
      <x:c r="E316" s="162" t="n">
        <x:v>23439.266397982476</x:v>
      </x:c>
      <x:c r="F316" s="162" t="n">
        <x:v>23439</x:v>
      </x:c>
      <x:c r="G316" s="144" t="n">
        <x:v>0.02054629510863897</x:v>
      </x:c>
      <x:c r="H316" s="144" t="n">
        <x:v>0.1065114926795126</x:v>
      </x:c>
      <x:c r="I316" s="137" t="str">
        <x:v>POSITIVE-MODEL-MARGIN</x:v>
      </x:c>
      <x:c r="J316" s="137" t="str">
        <x:v>V0.7-CONTROLLED-RESEARCH-SCREEN-NOT-DISTRIBUTION</x:v>
      </x:c>
    </x:row>
    <x:row r="317" ht="22" customHeight="1">
      <x:c r="A317" s="136" t="str">
        <x:v>SCR-0312</x:v>
      </x:c>
      <x:c r="B317" s="143" t="n">
        <x:v>4.41025641025641e-7</x:v>
      </x:c>
      <x:c r="C317" s="143" t="n">
        <x:v>0.010076923076923077</x:v>
      </x:c>
      <x:c r="D317" s="161" t="n">
        <x:v>99</x:v>
      </x:c>
      <x:c r="E317" s="163" t="n">
        <x:v>21864.03408350617</x:v>
      </x:c>
      <x:c r="F317" s="163" t="n">
        <x:v>21864</x:v>
      </x:c>
      <x:c r="G317" s="145" t="n">
        <x:v>0.020847223798878062</x:v>
      </x:c>
      <x:c r="H317" s="145" t="n">
        <x:v>0.10787523680904333</x:v>
      </x:c>
      <x:c r="I317" s="136" t="str">
        <x:v>POSITIVE-MODEL-MARGIN</x:v>
      </x:c>
      <x:c r="J317" s="136" t="str">
        <x:v>V0.7-CONTROLLED-RESEARCH-SCREEN-NOT-DISTRIBUTION</x:v>
      </x:c>
    </x:row>
    <x:row r="318" ht="22" customHeight="1">
      <x:c r="A318" s="137" t="str">
        <x:v>SCR-0313</x:v>
      </x:c>
      <x:c r="B318" s="142" t="n">
        <x:v>4.41025641025641e-7</x:v>
      </x:c>
      <x:c r="C318" s="142" t="n">
        <x:v>0.010384615384615384</x:v>
      </x:c>
      <x:c r="D318" s="160" t="n">
        <x:v>98</x:v>
      </x:c>
      <x:c r="E318" s="162" t="n">
        <x:v>20302.00458675776</x:v>
      </x:c>
      <x:c r="F318" s="162" t="n">
        <x:v>20302</x:v>
      </x:c>
      <x:c r="G318" s="144" t="n">
        <x:v>0.021094405934539616</x:v>
      </x:c>
      <x:c r="H318" s="144" t="n">
        <x:v>0.10921047833250008</x:v>
      </x:c>
      <x:c r="I318" s="137" t="str">
        <x:v>POSITIVE-MODEL-MARGIN</x:v>
      </x:c>
      <x:c r="J318" s="137" t="str">
        <x:v>V0.7-CONTROLLED-RESEARCH-SCREEN-NOT-DISTRIBUTION</x:v>
      </x:c>
    </x:row>
    <x:row r="319" ht="22" customHeight="1">
      <x:c r="A319" s="136" t="str">
        <x:v>SCR-0314</x:v>
      </x:c>
      <x:c r="B319" s="143" t="n">
        <x:v>4.41025641025641e-7</x:v>
      </x:c>
      <x:c r="C319" s="143" t="n">
        <x:v>0.010692307692307692</x:v>
      </x:c>
      <x:c r="D319" s="161" t="n">
        <x:v>97</x:v>
      </x:c>
      <x:c r="E319" s="163" t="n">
        <x:v>18752.335899121277</x:v>
      </x:c>
      <x:c r="F319" s="163" t="n">
        <x:v>18752</x:v>
      </x:c>
      <x:c r="G319" s="145" t="n">
        <x:v>0.02134182125324176</x:v>
      </x:c>
      <x:c r="H319" s="145" t="n">
        <x:v>0.11055606797265279</x:v>
      </x:c>
      <x:c r="I319" s="136" t="str">
        <x:v>POSITIVE-MODEL-MARGIN</x:v>
      </x:c>
      <x:c r="J319" s="136" t="str">
        <x:v>V0.7-CONTROLLED-RESEARCH-SCREEN-NOT-DISTRIBUTION</x:v>
      </x:c>
    </x:row>
    <x:row r="320" ht="22" customHeight="1">
      <x:c r="A320" s="137" t="str">
        <x:v>SCR-0315</x:v>
      </x:c>
      <x:c r="B320" s="142" t="n">
        <x:v>4.41025641025641e-7</x:v>
      </x:c>
      <x:c r="C320" s="142" t="n">
        <x:v>0.011</x:v>
      </x:c>
      <x:c r="D320" s="160" t="n">
        <x:v>97</x:v>
      </x:c>
      <x:c r="E320" s="162" t="n">
        <x:v>17213.046812460718</x:v>
      </x:c>
      <x:c r="F320" s="162" t="n">
        <x:v>17213</x:v>
      </x:c>
      <x:c r="G320" s="144" t="n">
        <x:v>0.021642817392009562</x:v>
      </x:c>
      <x:c r="H320" s="144" t="n">
        <x:v>0.11192093679238363</x:v>
      </x:c>
      <x:c r="I320" s="137" t="str">
        <x:v>POSITIVE-MODEL-MARGIN</x:v>
      </x:c>
      <x:c r="J320" s="137" t="str">
        <x:v>V0.7-CONTROLLED-RESEARCH-SCREEN-NOT-DISTRIBUTION</x:v>
      </x:c>
    </x:row>
    <x:row r="321" ht="22" customHeight="1">
      <x:c r="A321" s="136" t="str">
        <x:v>SCR-0316</x:v>
      </x:c>
      <x:c r="B321" s="143" t="n">
        <x:v>4.41025641025641e-7</x:v>
      </x:c>
      <x:c r="C321" s="143" t="n">
        <x:v>0.011307692307692307</x:v>
      </x:c>
      <x:c r="D321" s="161" t="n">
        <x:v>95</x:v>
      </x:c>
      <x:c r="E321" s="163" t="n">
        <x:v>15690.41009040637</x:v>
      </x:c>
      <x:c r="F321" s="163" t="n">
        <x:v>15690</x:v>
      </x:c>
      <x:c r="G321" s="145" t="n">
        <x:v>0.02183731610071194</x:v>
      </x:c>
      <x:c r="H321" s="145" t="n">
        <x:v>0.11327951949637756</x:v>
      </x:c>
      <x:c r="I321" s="136" t="str">
        <x:v>POSITIVE-MODEL-MARGIN</x:v>
      </x:c>
      <x:c r="J321" s="136" t="str">
        <x:v>V0.7-CONTROLLED-RESEARCH-SCREEN-NOT-DISTRIBUTION</x:v>
      </x:c>
    </x:row>
    <x:row r="322" ht="22" customHeight="1">
      <x:c r="A322" s="137" t="str">
        <x:v>SCR-0317</x:v>
      </x:c>
      <x:c r="B322" s="142" t="n">
        <x:v>4.41025641025641e-7</x:v>
      </x:c>
      <x:c r="C322" s="142" t="n">
        <x:v>0.011615384615384614</x:v>
      </x:c>
      <x:c r="D322" s="160" t="n">
        <x:v>94</x:v>
      </x:c>
      <x:c r="E322" s="162" t="n">
        <x:v>14182.110960865732</x:v>
      </x:c>
      <x:c r="F322" s="162" t="n">
        <x:v>14182</x:v>
      </x:c>
      <x:c r="G322" s="144" t="n">
        <x:v>0.02208537773828428</x:v>
      </x:c>
      <x:c r="H322" s="144" t="n">
        <x:v>0.11465802604314909</x:v>
      </x:c>
      <x:c r="I322" s="137" t="str">
        <x:v>POSITIVE-MODEL-MARGIN</x:v>
      </x:c>
      <x:c r="J322" s="137" t="str">
        <x:v>V0.7-CONTROLLED-RESEARCH-SCREEN-NOT-DISTRIBUTION</x:v>
      </x:c>
    </x:row>
    <x:row r="323" ht="22" customHeight="1">
      <x:c r="A323" s="136" t="str">
        <x:v>SCR-0318</x:v>
      </x:c>
      <x:c r="B323" s="143" t="n">
        <x:v>4.41025641025641e-7</x:v>
      </x:c>
      <x:c r="C323" s="143" t="n">
        <x:v>0.011923076923076925</x:v>
      </x:c>
      <x:c r="D323" s="161" t="n">
        <x:v>93</x:v>
      </x:c>
      <x:c r="E323" s="163" t="n">
        <x:v>12686.724851838826</x:v>
      </x:c>
      <x:c r="F323" s="163" t="n">
        <x:v>12686</x:v>
      </x:c>
      <x:c r="G323" s="145" t="n">
        <x:v>0.022333713330152744</x:v>
      </x:c>
      <x:c r="H323" s="145" t="n">
        <x:v>0.11604395038833609</x:v>
      </x:c>
      <x:c r="I323" s="136" t="str">
        <x:v>POSITIVE-MODEL-MARGIN</x:v>
      </x:c>
      <x:c r="J323" s="136" t="str">
        <x:v>V0.7-CONTROLLED-RESEARCH-SCREEN-NOT-DISTRIBUTION</x:v>
      </x:c>
    </x:row>
    <x:row r="324" ht="22" customHeight="1">
      <x:c r="A324" s="137" t="str">
        <x:v>SCR-0319</x:v>
      </x:c>
      <x:c r="B324" s="142" t="n">
        <x:v>4.41025641025641e-7</x:v>
      </x:c>
      <x:c r="C324" s="142" t="n">
        <x:v>0.012230769230769233</x:v>
      </x:c>
      <x:c r="D324" s="160" t="n">
        <x:v>92</x:v>
      </x:c>
      <x:c r="E324" s="162" t="n">
        <x:v>11209.843722203954</x:v>
      </x:c>
      <x:c r="F324" s="162" t="n">
        <x:v>11209</x:v>
      </x:c>
      <x:c r="G324" s="144" t="n">
        <x:v>0.022582313551540105</x:v>
      </x:c>
      <x:c r="H324" s="144" t="n">
        <x:v>0.1174415677359493</x:v>
      </x:c>
      <x:c r="I324" s="137" t="str">
        <x:v>POSITIVE-MODEL-MARGIN</x:v>
      </x:c>
      <x:c r="J324" s="137" t="str">
        <x:v>V0.7-CONTROLLED-RESEARCH-SCREEN-NOT-DISTRIBUTION</x:v>
      </x:c>
    </x:row>
    <x:row r="325" ht="22" customHeight="1">
      <x:c r="A325" s="136" t="str">
        <x:v>SCR-0320</x:v>
      </x:c>
      <x:c r="B325" s="143" t="n">
        <x:v>4.41025641025641e-7</x:v>
      </x:c>
      <x:c r="C325" s="143" t="n">
        <x:v>0.01253846153846154</x:v>
      </x:c>
      <x:c r="D325" s="161" t="n">
        <x:v>92</x:v>
      </x:c>
      <x:c r="E325" s="163" t="n">
        <x:v>9742.654222954854</x:v>
      </x:c>
      <x:c r="F325" s="163" t="n">
        <x:v>9742</x:v>
      </x:c>
      <x:c r="G325" s="145" t="n">
        <x:v>0.022883476533792958</x:v>
      </x:c>
      <x:c r="H325" s="145" t="n">
        <x:v>0.11881426900519121</x:v>
      </x:c>
      <x:c r="I325" s="136" t="str">
        <x:v>POSITIVE-MODEL-MARGIN</x:v>
      </x:c>
      <x:c r="J325" s="136" t="str">
        <x:v>V0.7-CONTROLLED-RESEARCH-SCREEN-NOT-DISTRIBUTION</x:v>
      </x:c>
    </x:row>
    <x:row r="326" ht="22" customHeight="1">
      <x:c r="A326" s="137" t="str">
        <x:v>SCR-0321</x:v>
      </x:c>
      <x:c r="B326" s="142" t="n">
        <x:v>4.41025641025641e-7</x:v>
      </x:c>
      <x:c r="C326" s="142" t="n">
        <x:v>0.012846153846153847</x:v>
      </x:c>
      <x:c r="D326" s="160" t="n">
        <x:v>90</x:v>
      </x:c>
      <x:c r="E326" s="162" t="n">
        <x:v>8288.733396232437</x:v>
      </x:c>
      <x:c r="F326" s="162" t="n">
        <x:v>8288</x:v>
      </x:c>
      <x:c r="G326" s="144" t="n">
        <x:v>0.023080117222352113</x:v>
      </x:c>
      <x:c r="H326" s="144" t="n">
        <x:v>0.12027468550031822</x:v>
      </x:c>
      <x:c r="I326" s="137" t="str">
        <x:v>POSITIVE-MODEL-MARGIN</x:v>
      </x:c>
      <x:c r="J326" s="137" t="str">
        <x:v>V0.7-CONTROLLED-RESEARCH-SCREEN-NOT-DISTRIBUTION</x:v>
      </x:c>
    </x:row>
    <x:row r="327" ht="22" customHeight="1">
      <x:c r="A327" s="136" t="str">
        <x:v>SCR-0322</x:v>
      </x:c>
      <x:c r="B327" s="143" t="n">
        <x:v>4.41025641025641e-7</x:v>
      </x:c>
      <x:c r="C327" s="143" t="n">
        <x:v>0.013153846153846155</x:v>
      </x:c>
      <x:c r="D327" s="161" t="n">
        <x:v>90</x:v>
      </x:c>
      <x:c r="E327" s="163" t="n">
        <x:v>6851.502232486866</x:v>
      </x:c>
      <x:c r="F327" s="163" t="n">
        <x:v>6851</x:v>
      </x:c>
      <x:c r="G327" s="145" t="n">
        <x:v>0.023381346222219556</x:v>
      </x:c>
      <x:c r="H327" s="145" t="n">
        <x:v>0.12165104158332879</x:v>
      </x:c>
      <x:c r="I327" s="136" t="str">
        <x:v>POSITIVE-MODEL-MARGIN</x:v>
      </x:c>
      <x:c r="J327" s="136" t="str">
        <x:v>V0.7-CONTROLLED-RESEARCH-SCREEN-NOT-DISTRIBUTION</x:v>
      </x:c>
    </x:row>
    <x:row r="328" ht="22" customHeight="1">
      <x:c r="A328" s="137" t="str">
        <x:v>SCR-0323</x:v>
      </x:c>
      <x:c r="B328" s="142" t="n">
        <x:v>4.41025641025641e-7</x:v>
      </x:c>
      <x:c r="C328" s="142" t="n">
        <x:v>0.013461538461538462</x:v>
      </x:c>
      <x:c r="D328" s="160" t="n">
        <x:v>89</x:v>
      </x:c>
      <x:c r="E328" s="162" t="n">
        <x:v>5425.201334935122</x:v>
      </x:c>
      <x:c r="F328" s="162" t="n">
        <x:v>5425</x:v>
      </x:c>
      <x:c r="G328" s="144" t="n">
        <x:v>0.02363071636951255</x:v>
      </x:c>
      <x:c r="H328" s="144" t="n">
        <x:v>0.12309120395932269</x:v>
      </x:c>
      <x:c r="I328" s="137" t="str">
        <x:v>POSITIVE-MODEL-MARGIN</x:v>
      </x:c>
      <x:c r="J328" s="137" t="str">
        <x:v>V0.7-CONTROLLED-RESEARCH-SCREEN-NOT-DISTRIBUTION</x:v>
      </x:c>
    </x:row>
    <x:row r="329" ht="22" customHeight="1">
      <x:c r="A329" s="136" t="str">
        <x:v>SCR-0324</x:v>
      </x:c>
      <x:c r="B329" s="143" t="n">
        <x:v>4.41025641025641e-7</x:v>
      </x:c>
      <x:c r="C329" s="143" t="n">
        <x:v>0.01376923076923077</x:v>
      </x:c>
      <x:c r="D329" s="161" t="n">
        <x:v>87</x:v>
      </x:c>
      <x:c r="E329" s="163" t="n">
        <x:v>4014.14998347477</x:v>
      </x:c>
      <x:c r="F329" s="163" t="n">
        <x:v>4014</x:v>
      </x:c>
      <x:c r="G329" s="145" t="n">
        <x:v>0.02382887518022507</x:v>
      </x:c>
      <x:c r="H329" s="145" t="n">
        <x:v>0.12463394070395394</x:v>
      </x:c>
      <x:c r="I329" s="136" t="str">
        <x:v>POSITIVE-MODEL-MARGIN</x:v>
      </x:c>
      <x:c r="J329" s="136" t="str">
        <x:v>V0.7-CONTROLLED-RESEARCH-SCREEN-NOT-DISTRIBUTION</x:v>
      </x:c>
    </x:row>
    <x:row r="330" ht="22" customHeight="1">
      <x:c r="A330" s="137" t="str">
        <x:v>SCR-0325</x:v>
      </x:c>
      <x:c r="B330" s="142" t="n">
        <x:v>4.41025641025641e-7</x:v>
      </x:c>
      <x:c r="C330" s="142" t="n">
        <x:v>0.014076923076923077</x:v>
      </x:c>
      <x:c r="D330" s="160" t="n">
        <x:v>86</x:v>
      </x:c>
      <x:c r="E330" s="162" t="n">
        <x:v>2618.460979714324</x:v>
      </x:c>
      <x:c r="F330" s="162" t="n">
        <x:v>2618</x:v>
      </x:c>
      <x:c r="G330" s="144" t="n">
        <x:v>0.02407893867755003</x:v>
      </x:c>
      <x:c r="H330" s="144" t="n">
        <x:v>0.12611782242404657</x:v>
      </x:c>
      <x:c r="I330" s="137" t="str">
        <x:v>POSITIVE-MODEL-MARGIN</x:v>
      </x:c>
      <x:c r="J330" s="137" t="str">
        <x:v>V0.7-CONTROLLED-RESEARCH-SCREEN-NOT-DISTRIBUTION</x:v>
      </x:c>
    </x:row>
    <x:row r="331" ht="22" customHeight="1">
      <x:c r="A331" s="136" t="str">
        <x:v>SCR-0326</x:v>
      </x:c>
      <x:c r="B331" s="143" t="n">
        <x:v>4.41025641025641e-7</x:v>
      </x:c>
      <x:c r="C331" s="143" t="n">
        <x:v>0.014384615384615385</x:v>
      </x:c>
      <x:c r="D331" s="161" t="n">
        <x:v>85</x:v>
      </x:c>
      <x:c r="E331" s="163" t="n">
        <x:v>1239.0880145700394</x:v>
      </x:c>
      <x:c r="F331" s="163" t="n">
        <x:v>1239</x:v>
      </x:c>
      <x:c r="G331" s="145" t="n">
        <x:v>0.024329275247540107</x:v>
      </x:c>
      <x:c r="H331" s="145" t="n">
        <x:v>0.1276186416866084</x:v>
      </x:c>
      <x:c r="I331" s="136" t="str">
        <x:v>POSITIVE-MODEL-MARGIN</x:v>
      </x:c>
      <x:c r="J331" s="136" t="str">
        <x:v>V0.7-CONTROLLED-RESEARCH-SCREEN-NOT-DISTRIBUTION</x:v>
      </x:c>
    </x:row>
    <x:row r="332" ht="22" customHeight="1">
      <x:c r="A332" s="137" t="str">
        <x:v>SCR-0327</x:v>
      </x:c>
      <x:c r="B332" s="142" t="n">
        <x:v>4.41025641025641e-7</x:v>
      </x:c>
      <x:c r="C332" s="142" t="n">
        <x:v>0.014692307692307692</x:v>
      </x:c>
      <x:c r="D332" s="160" t="n">
        <x:v>85</x:v>
      </x:c>
      <x:c r="E332" s="162" t="n">
        <x:v>-127.81901997890589</x:v>
      </x:c>
      <x:c r="F332" s="162" t="n">
        <x:v>0</x:v>
      </x:c>
      <x:c r="G332" s="144" t="n">
        <x:v>0.02463066707788912</x:v>
      </x:c>
      <x:c r="H332" s="144" t="n">
        <x:v>0.12900588960181414</x:v>
      </x:c>
      <x:c r="I332" s="137" t="str">
        <x:v>NONPOSITIVE-MODEL-MARGIN</x:v>
      </x:c>
      <x:c r="J332" s="137" t="str">
        <x:v>V0.7-CONTROLLED-RESEARCH-SCREEN-NOT-DISTRIBUTION</x:v>
      </x:c>
    </x:row>
    <x:row r="333" ht="22" customHeight="1">
      <x:c r="A333" s="136" t="str">
        <x:v>SCR-0328</x:v>
      </x:c>
      <x:c r="B333" s="143" t="n">
        <x:v>4.41025641025641e-7</x:v>
      </x:c>
      <x:c r="C333" s="143" t="n">
        <x:v>0.015</x:v>
      </x:c>
      <x:c r="D333" s="161" t="n">
        <x:v>84</x:v>
      </x:c>
      <x:c r="E333" s="163" t="n">
        <x:v>-1483.438683449811</x:v>
      </x:c>
      <x:c r="F333" s="163" t="n">
        <x:v>0</x:v>
      </x:c>
      <x:c r="G333" s="145" t="n">
        <x:v>0.02488129877185792</x:v>
      </x:c>
      <x:c r="H333" s="145" t="n">
        <x:v>0.1305267416968343</x:v>
      </x:c>
      <x:c r="I333" s="136" t="str">
        <x:v>NONPOSITIVE-MODEL-MARGIN</x:v>
      </x:c>
      <x:c r="J333" s="136" t="str">
        <x:v>V0.7-CONTROLLED-RESEARCH-SCREEN-NOT-DISTRIBUTION</x:v>
      </x:c>
    </x:row>
    <x:row r="334" ht="22" customHeight="1">
      <x:c r="A334" s="137" t="str">
        <x:v>SCR-0329</x:v>
      </x:c>
      <x:c r="B334" s="142" t="n">
        <x:v>4.897435897435897e-7</x:v>
      </x:c>
      <x:c r="C334" s="142" t="n">
        <x:v>0.003</x:v>
      </x:c>
      <x:c r="D334" s="160" t="n">
        <x:v>107</x:v>
      </x:c>
      <x:c r="E334" s="162" t="n">
        <x:v>54247.95208482878</x:v>
      </x:c>
      <x:c r="F334" s="162" t="n">
        <x:v>54247</x:v>
      </x:c>
      <x:c r="G334" s="144" t="n">
        <x:v>0.015539275239417854</x:v>
      </x:c>
      <x:c r="H334" s="144" t="n">
        <x:v>0.08307649236495697</x:v>
      </x:c>
      <x:c r="I334" s="137" t="str">
        <x:v>POSITIVE-MODEL-MARGIN</x:v>
      </x:c>
      <x:c r="J334" s="137" t="str">
        <x:v>V0.7-CONTROLLED-RESEARCH-SCREEN-NOT-DISTRIBUTION</x:v>
      </x:c>
    </x:row>
    <x:row r="335" ht="22" customHeight="1">
      <x:c r="A335" s="136" t="str">
        <x:v>SCR-0330</x:v>
      </x:c>
      <x:c r="B335" s="143" t="n">
        <x:v>4.897435897435897e-7</x:v>
      </x:c>
      <x:c r="C335" s="143" t="n">
        <x:v>0.003307692307692308</x:v>
      </x:c>
      <x:c r="D335" s="161" t="n">
        <x:v>107</x:v>
      </x:c>
      <x:c r="E335" s="163" t="n">
        <x:v>52432.71481042212</x:v>
      </x:c>
      <x:c r="F335" s="163" t="n">
        <x:v>52432</x:v>
      </x:c>
      <x:c r="G335" s="145" t="n">
        <x:v>0.01583920509649855</x:v>
      </x:c>
      <x:c r="H335" s="145" t="n">
        <x:v>0.08446089791310707</x:v>
      </x:c>
      <x:c r="I335" s="136" t="str">
        <x:v>POSITIVE-MODEL-MARGIN</x:v>
      </x:c>
      <x:c r="J335" s="136" t="str">
        <x:v>V0.7-CONTROLLED-RESEARCH-SCREEN-NOT-DISTRIBUTION</x:v>
      </x:c>
    </x:row>
    <x:row r="336" ht="22" customHeight="1">
      <x:c r="A336" s="137" t="str">
        <x:v>SCR-0331</x:v>
      </x:c>
      <x:c r="B336" s="142" t="n">
        <x:v>4.897435897435897e-7</x:v>
      </x:c>
      <x:c r="C336" s="142" t="n">
        <x:v>0.0036153846153846154</x:v>
      </x:c>
      <x:c r="D336" s="160" t="n">
        <x:v>107</x:v>
      </x:c>
      <x:c r="E336" s="162" t="n">
        <x:v>50633.88187388739</x:v>
      </x:c>
      <x:c r="F336" s="162" t="n">
        <x:v>50633</x:v>
      </x:c>
      <x:c r="G336" s="144" t="n">
        <x:v>0.016139134953579246</x:v>
      </x:c>
      <x:c r="H336" s="144" t="n">
        <x:v>0.08584317624909651</x:v>
      </x:c>
      <x:c r="I336" s="137" t="str">
        <x:v>POSITIVE-MODEL-MARGIN</x:v>
      </x:c>
      <x:c r="J336" s="137" t="str">
        <x:v>V0.7-CONTROLLED-RESEARCH-SCREEN-NOT-DISTRIBUTION</x:v>
      </x:c>
    </x:row>
    <x:row r="337" ht="22" customHeight="1">
      <x:c r="A337" s="136" t="str">
        <x:v>SCR-0332</x:v>
      </x:c>
      <x:c r="B337" s="143" t="n">
        <x:v>4.897435897435897e-7</x:v>
      </x:c>
      <x:c r="C337" s="143" t="n">
        <x:v>0.003923076923076923</x:v>
      </x:c>
      <x:c r="D337" s="161" t="n">
        <x:v>106</x:v>
      </x:c>
      <x:c r="E337" s="163" t="n">
        <x:v>48852.71712680056</x:v>
      </x:c>
      <x:c r="F337" s="163" t="n">
        <x:v>48852</x:v>
      </x:c>
      <x:c r="G337" s="145" t="n">
        <x:v>0.016377675510264526</x:v>
      </x:c>
      <x:c r="H337" s="145" t="n">
        <x:v>0.08708556243505289</x:v>
      </x:c>
      <x:c r="I337" s="136" t="str">
        <x:v>POSITIVE-MODEL-MARGIN</x:v>
      </x:c>
      <x:c r="J337" s="136" t="str">
        <x:v>V0.7-CONTROLLED-RESEARCH-SCREEN-NOT-DISTRIBUTION</x:v>
      </x:c>
    </x:row>
    <x:row r="338" ht="22" customHeight="1">
      <x:c r="A338" s="137" t="str">
        <x:v>SCR-0333</x:v>
      </x:c>
      <x:c r="B338" s="142" t="n">
        <x:v>4.897435897435897e-7</x:v>
      </x:c>
      <x:c r="C338" s="142" t="n">
        <x:v>0.004230769230769231</x:v>
      </x:c>
      <x:c r="D338" s="160" t="n">
        <x:v>105</x:v>
      </x:c>
      <x:c r="E338" s="162" t="n">
        <x:v>47085.24595241731</x:v>
      </x:c>
      <x:c r="F338" s="162" t="n">
        <x:v>47085</x:v>
      </x:c>
      <x:c r="G338" s="144" t="n">
        <x:v>0.016616375099627205</x:v>
      </x:c>
      <x:c r="H338" s="144" t="n">
        <x:v>0.08833427024429523</x:v>
      </x:c>
      <x:c r="I338" s="137" t="str">
        <x:v>POSITIVE-MODEL-MARGIN</x:v>
      </x:c>
      <x:c r="J338" s="137" t="str">
        <x:v>V0.7-CONTROLLED-RESEARCH-SCREEN-NOT-DISTRIBUTION</x:v>
      </x:c>
    </x:row>
    <x:row r="339" ht="22" customHeight="1">
      <x:c r="A339" s="136" t="str">
        <x:v>SCR-0334</x:v>
      </x:c>
      <x:c r="B339" s="143" t="n">
        <x:v>4.897435897435897e-7</x:v>
      </x:c>
      <x:c r="C339" s="143" t="n">
        <x:v>0.004538461538461538</x:v>
      </x:c>
      <x:c r="D339" s="161" t="n">
        <x:v>105</x:v>
      </x:c>
      <x:c r="E339" s="163" t="n">
        <x:v>45329.704147061646</x:v>
      </x:c>
      <x:c r="F339" s="163" t="n">
        <x:v>45329</x:v>
      </x:c>
      <x:c r="G339" s="145" t="n">
        <x:v>0.016916381058920002</x:v>
      </x:c>
      <x:c r="H339" s="145" t="n">
        <x:v>0.08971555426667394</x:v>
      </x:c>
      <x:c r="I339" s="136" t="str">
        <x:v>POSITIVE-MODEL-MARGIN</x:v>
      </x:c>
      <x:c r="J339" s="136" t="str">
        <x:v>V0.7-CONTROLLED-RESEARCH-SCREEN-NOT-DISTRIBUTION</x:v>
      </x:c>
    </x:row>
    <x:row r="340" ht="22" customHeight="1">
      <x:c r="A340" s="137" t="str">
        <x:v>SCR-0335</x:v>
      </x:c>
      <x:c r="B340" s="142" t="n">
        <x:v>4.897435897435897e-7</x:v>
      </x:c>
      <x:c r="C340" s="142" t="n">
        <x:v>0.004846153846153846</x:v>
      </x:c>
      <x:c r="D340" s="160" t="n">
        <x:v>103</x:v>
      </x:c>
      <x:c r="E340" s="162" t="n">
        <x:v>43591.33403827649</x:v>
      </x:c>
      <x:c r="F340" s="162" t="n">
        <x:v>43591</x:v>
      </x:c>
      <x:c r="G340" s="144" t="n">
        <x:v>0.0170944758595121</x:v>
      </x:c>
      <x:c r="H340" s="144" t="n">
        <x:v>0.09085379834233662</x:v>
      </x:c>
      <x:c r="I340" s="137" t="str">
        <x:v>POSITIVE-MODEL-MARGIN</x:v>
      </x:c>
      <x:c r="J340" s="137" t="str">
        <x:v>V0.7-CONTROLLED-RESEARCH-SCREEN-NOT-DISTRIBUTION</x:v>
      </x:c>
    </x:row>
    <x:row r="341" ht="22" customHeight="1">
      <x:c r="A341" s="136" t="str">
        <x:v>SCR-0336</x:v>
      </x:c>
      <x:c r="B341" s="143" t="n">
        <x:v>4.897435897435897e-7</x:v>
      </x:c>
      <x:c r="C341" s="143" t="n">
        <x:v>0.005</x:v>
      </x:c>
      <x:c r="D341" s="161" t="n">
        <x:v>103</x:v>
      </x:c>
      <x:c r="E341" s="163" t="n">
        <x:v>42725.53493112173</x:v>
      </x:c>
      <x:c r="F341" s="163" t="n">
        <x:v>42725</x:v>
      </x:c>
      <x:c r="G341" s="145" t="n">
        <x:v>0.017244516717449403</x:v>
      </x:c>
      <x:c r="H341" s="145" t="n">
        <x:v>0.09154537041910915</x:v>
      </x:c>
      <x:c r="I341" s="136" t="str">
        <x:v>POSITIVE-MODEL-MARGIN</x:v>
      </x:c>
      <x:c r="J341" s="136" t="str">
        <x:v>V0.7-CONTROLLED-RESEARCH-SCREEN-NOT-DISTRIBUTION</x:v>
      </x:c>
    </x:row>
    <x:row r="342" ht="22" customHeight="1">
      <x:c r="A342" s="137" t="str">
        <x:v>SCR-0337</x:v>
      </x:c>
      <x:c r="B342" s="142" t="n">
        <x:v>4.897435897435897e-7</x:v>
      </x:c>
      <x:c r="C342" s="142" t="n">
        <x:v>0.005153846153846154</x:v>
      </x:c>
      <x:c r="D342" s="160" t="n">
        <x:v>103</x:v>
      </x:c>
      <x:c r="E342" s="162" t="n">
        <x:v>41866.5529121957</x:v>
      </x:c>
      <x:c r="F342" s="162" t="n">
        <x:v>41866</x:v>
      </x:c>
      <x:c r="G342" s="144" t="n">
        <x:v>0.017394557575386705</x:v>
      </x:c>
      <x:c r="H342" s="144" t="n">
        <x:v>0.09223646366576013</x:v>
      </x:c>
      <x:c r="I342" s="137" t="str">
        <x:v>POSITIVE-MODEL-MARGIN</x:v>
      </x:c>
      <x:c r="J342" s="137" t="str">
        <x:v>V0.7-CONTROLLED-RESEARCH-SCREEN-NOT-DISTRIBUTION</x:v>
      </x:c>
    </x:row>
    <x:row r="343" ht="22" customHeight="1">
      <x:c r="A343" s="136" t="str">
        <x:v>SCR-0338</x:v>
      </x:c>
      <x:c r="B343" s="143" t="n">
        <x:v>4.897435897435897e-7</x:v>
      </x:c>
      <x:c r="C343" s="143" t="n">
        <x:v>0.005461538461538462</x:v>
      </x:c>
      <x:c r="D343" s="161" t="n">
        <x:v>102</x:v>
      </x:c>
      <x:c r="E343" s="163" t="n">
        <x:v>40157.36203120146</x:v>
      </x:c>
      <x:c r="F343" s="163" t="n">
        <x:v>40157</x:v>
      </x:c>
      <x:c r="G343" s="145" t="n">
        <x:v>0.017633978579759832</x:v>
      </x:c>
      <x:c r="H343" s="145" t="n">
        <x:v>0.093508509719258</x:v>
      </x:c>
      <x:c r="I343" s="136" t="str">
        <x:v>POSITIVE-MODEL-MARGIN</x:v>
      </x:c>
      <x:c r="J343" s="136" t="str">
        <x:v>V0.7-CONTROLLED-RESEARCH-SCREEN-NOT-DISTRIBUTION</x:v>
      </x:c>
    </x:row>
    <x:row r="344" ht="22" customHeight="1">
      <x:c r="A344" s="137" t="str">
        <x:v>SCR-0339</x:v>
      </x:c>
      <x:c r="B344" s="142" t="n">
        <x:v>4.897435897435897e-7</x:v>
      </x:c>
      <x:c r="C344" s="142" t="n">
        <x:v>0.0057692307692307696</x:v>
      </x:c>
      <x:c r="D344" s="160" t="n">
        <x:v>102</x:v>
      </x:c>
      <x:c r="E344" s="162" t="n">
        <x:v>38460.58872939704</x:v>
      </x:c>
      <x:c r="F344" s="162" t="n">
        <x:v>38460</x:v>
      </x:c>
      <x:c r="G344" s="144" t="n">
        <x:v>0.0179340980375984</x:v>
      </x:c>
      <x:c r="H344" s="144" t="n">
        <x:v>0.09489011843201477</x:v>
      </x:c>
      <x:c r="I344" s="137" t="str">
        <x:v>POSITIVE-MODEL-MARGIN</x:v>
      </x:c>
      <x:c r="J344" s="137" t="str">
        <x:v>V0.7-CONTROLLED-RESEARCH-SCREEN-NOT-DISTRIBUTION</x:v>
      </x:c>
    </x:row>
    <x:row r="345" ht="22" customHeight="1">
      <x:c r="A345" s="136" t="str">
        <x:v>SCR-0340</x:v>
      </x:c>
      <x:c r="B345" s="143" t="n">
        <x:v>4.897435897435897e-7</x:v>
      </x:c>
      <x:c r="C345" s="143" t="n">
        <x:v>0.006076923076923077</x:v>
      </x:c>
      <x:c r="D345" s="161" t="n">
        <x:v>101</x:v>
      </x:c>
      <x:c r="E345" s="163" t="n">
        <x:v>36775.24138992953</x:v>
      </x:c>
      <x:c r="F345" s="163" t="n">
        <x:v>36775</x:v>
      </x:c>
      <x:c r="G345" s="145" t="n">
        <x:v>0.01817376646236603</x:v>
      </x:c>
      <x:c r="H345" s="145" t="n">
        <x:v>0.09617109566154936</x:v>
      </x:c>
      <x:c r="I345" s="136" t="str">
        <x:v>POSITIVE-MODEL-MARGIN</x:v>
      </x:c>
      <x:c r="J345" s="136" t="str">
        <x:v>V0.7-CONTROLLED-RESEARCH-SCREEN-NOT-DISTRIBUTION</x:v>
      </x:c>
    </x:row>
    <x:row r="346" ht="22" customHeight="1">
      <x:c r="A346" s="137" t="str">
        <x:v>SCR-0341</x:v>
      </x:c>
      <x:c r="B346" s="142" t="n">
        <x:v>4.897435897435897e-7</x:v>
      </x:c>
      <x:c r="C346" s="142" t="n">
        <x:v>0.006384615384615384</x:v>
      </x:c>
      <x:c r="D346" s="160" t="n">
        <x:v>100</x:v>
      </x:c>
      <x:c r="E346" s="162" t="n">
        <x:v>35102.146866540286</x:v>
      </x:c>
      <x:c r="F346" s="162" t="n">
        <x:v>35102</x:v>
      </x:c>
      <x:c r="G346" s="144" t="n">
        <x:v>0.01841372113513698</x:v>
      </x:c>
      <x:c r="H346" s="144" t="n">
        <x:v>0.09746124084154377</x:v>
      </x:c>
      <x:c r="I346" s="137" t="str">
        <x:v>POSITIVE-MODEL-MARGIN</x:v>
      </x:c>
      <x:c r="J346" s="137" t="str">
        <x:v>V0.7-CONTROLLED-RESEARCH-SCREEN-NOT-DISTRIBUTION</x:v>
      </x:c>
    </x:row>
    <x:row r="347" ht="22" customHeight="1">
      <x:c r="A347" s="136" t="str">
        <x:v>SCR-0342</x:v>
      </x:c>
      <x:c r="B347" s="143" t="n">
        <x:v>4.897435897435897e-7</x:v>
      </x:c>
      <x:c r="C347" s="143" t="n">
        <x:v>0.006692307692307693</x:v>
      </x:c>
      <x:c r="D347" s="161" t="n">
        <x:v>100</x:v>
      </x:c>
      <x:c r="E347" s="163" t="n">
        <x:v>33449.33075646383</x:v>
      </x:c>
      <x:c r="F347" s="163" t="n">
        <x:v>33449</x:v>
      </x:c>
      <x:c r="G347" s="145" t="n">
        <x:v>0.01871391577822586</x:v>
      </x:c>
      <x:c r="H347" s="145" t="n">
        <x:v>0.09884298896669369</x:v>
      </x:c>
      <x:c r="I347" s="136" t="str">
        <x:v>POSITIVE-MODEL-MARGIN</x:v>
      </x:c>
      <x:c r="J347" s="136" t="str">
        <x:v>V0.7-CONTROLLED-RESEARCH-SCREEN-NOT-DISTRIBUTION</x:v>
      </x:c>
    </x:row>
    <x:row r="348" ht="22" customHeight="1">
      <x:c r="A348" s="137" t="str">
        <x:v>SCR-0343</x:v>
      </x:c>
      <x:c r="B348" s="142" t="n">
        <x:v>4.897435897435897e-7</x:v>
      </x:c>
      <x:c r="C348" s="142" t="n">
        <x:v>0.007</x:v>
      </x:c>
      <x:c r="D348" s="160" t="n">
        <x:v>99</x:v>
      </x:c>
      <x:c r="E348" s="162" t="n">
        <x:v>31807.681129745008</x:v>
      </x:c>
      <x:c r="F348" s="162" t="n">
        <x:v>31807</x:v>
      </x:c>
      <x:c r="G348" s="144" t="n">
        <x:v>0.01895409898001625</x:v>
      </x:c>
      <x:c r="H348" s="144" t="n">
        <x:v>0.10014280851584187</x:v>
      </x:c>
      <x:c r="I348" s="137" t="str">
        <x:v>POSITIVE-MODEL-MARGIN</x:v>
      </x:c>
      <x:c r="J348" s="137" t="str">
        <x:v>V0.7-CONTROLLED-RESEARCH-SCREEN-NOT-DISTRIBUTION</x:v>
      </x:c>
    </x:row>
    <x:row r="349" ht="22" customHeight="1">
      <x:c r="A349" s="136" t="str">
        <x:v>SCR-0344</x:v>
      </x:c>
      <x:c r="B349" s="143" t="n">
        <x:v>4.897435897435897e-7</x:v>
      </x:c>
      <x:c r="C349" s="143" t="n">
        <x:v>0.007307692307692308</x:v>
      </x:c>
      <x:c r="D349" s="161" t="n">
        <x:v>98</x:v>
      </x:c>
      <x:c r="E349" s="163" t="n">
        <x:v>30178.294317842552</x:v>
      </x:c>
      <x:c r="F349" s="163" t="n">
        <x:v>30178</x:v>
      </x:c>
      <x:c r="G349" s="145" t="n">
        <x:v>0.019194549338428284</x:v>
      </x:c>
      <x:c r="H349" s="145" t="n">
        <x:v>0.10145239484564414</x:v>
      </x:c>
      <x:c r="I349" s="136" t="str">
        <x:v>POSITIVE-MODEL-MARGIN</x:v>
      </x:c>
      <x:c r="J349" s="136" t="str">
        <x:v>V0.7-CONTROLLED-RESEARCH-SCREEN-NOT-DISTRIBUTION</x:v>
      </x:c>
    </x:row>
    <x:row r="350" ht="22" customHeight="1">
      <x:c r="A350" s="137" t="str">
        <x:v>SCR-0345</x:v>
      </x:c>
      <x:c r="B350" s="142" t="n">
        <x:v>4.897435897435897e-7</x:v>
      </x:c>
      <x:c r="C350" s="142" t="n">
        <x:v>0.007615384615384616</x:v>
      </x:c>
      <x:c r="D350" s="160" t="n">
        <x:v>97</x:v>
      </x:c>
      <x:c r="E350" s="162" t="n">
        <x:v>28565.16527449362</x:v>
      </x:c>
      <x:c r="F350" s="162" t="n">
        <x:v>28565</x:v>
      </x:c>
      <x:c r="G350" s="144" t="n">
        <x:v>0.019435257155045692</x:v>
      </x:c>
      <x:c r="H350" s="144" t="n">
        <x:v>0.10277203028771734</x:v>
      </x:c>
      <x:c r="I350" s="137" t="str">
        <x:v>POSITIVE-MODEL-MARGIN</x:v>
      </x:c>
      <x:c r="J350" s="137" t="str">
        <x:v>V0.7-CONTROLLED-RESEARCH-SCREEN-NOT-DISTRIBUTION</x:v>
      </x:c>
    </x:row>
    <x:row r="351" ht="22" customHeight="1">
      <x:c r="A351" s="136" t="str">
        <x:v>SCR-0346</x:v>
      </x:c>
      <x:c r="B351" s="143" t="n">
        <x:v>4.897435897435897e-7</x:v>
      </x:c>
      <x:c r="C351" s="143" t="n">
        <x:v>0.007923076923076923</x:v>
      </x:c>
      <x:c r="D351" s="161" t="n">
        <x:v>97</x:v>
      </x:c>
      <x:c r="E351" s="163" t="n">
        <x:v>26967.211577373648</x:v>
      </x:c>
      <x:c r="F351" s="163" t="n">
        <x:v>26967</x:v>
      </x:c>
      <x:c r="G351" s="145" t="n">
        <x:v>0.01973556380733984</x:v>
      </x:c>
      <x:c r="H351" s="145" t="n">
        <x:v>0.10415566072211002</x:v>
      </x:c>
      <x:c r="I351" s="136" t="str">
        <x:v>POSITIVE-MODEL-MARGIN</x:v>
      </x:c>
      <x:c r="J351" s="136" t="str">
        <x:v>V0.7-CONTROLLED-RESEARCH-SCREEN-NOT-DISTRIBUTION</x:v>
      </x:c>
    </x:row>
    <x:row r="352" ht="22" customHeight="1">
      <x:c r="A352" s="137" t="str">
        <x:v>SCR-0347</x:v>
      </x:c>
      <x:c r="B352" s="142" t="n">
        <x:v>4.897435897435897e-7</x:v>
      </x:c>
      <x:c r="C352" s="142" t="n">
        <x:v>0.00823076923076923</x:v>
      </x:c>
      <x:c r="D352" s="160" t="n">
        <x:v>97</x:v>
      </x:c>
      <x:c r="E352" s="162" t="n">
        <x:v>25374.802994623813</x:v>
      </x:c>
      <x:c r="F352" s="162" t="n">
        <x:v>25374</x:v>
      </x:c>
      <x:c r="G352" s="144" t="n">
        <x:v>0.020035870459633984</x:v>
      </x:c>
      <x:c r="H352" s="144" t="n">
        <x:v>0.10553766432885889</x:v>
      </x:c>
      <x:c r="I352" s="137" t="str">
        <x:v>POSITIVE-MODEL-MARGIN</x:v>
      </x:c>
      <x:c r="J352" s="137" t="str">
        <x:v>V0.7-CONTROLLED-RESEARCH-SCREEN-NOT-DISTRIBUTION</x:v>
      </x:c>
    </x:row>
    <x:row r="353" ht="22" customHeight="1">
      <x:c r="A353" s="136" t="str">
        <x:v>SCR-0348</x:v>
      </x:c>
      <x:c r="B353" s="143" t="n">
        <x:v>4.897435897435897e-7</x:v>
      </x:c>
      <x:c r="C353" s="143" t="n">
        <x:v>0.00853846153846154</x:v>
      </x:c>
      <x:c r="D353" s="161" t="n">
        <x:v>96</x:v>
      </x:c>
      <x:c r="E353" s="163" t="n">
        <x:v>23802.15688937545</x:v>
      </x:c>
      <x:c r="F353" s="163" t="n">
        <x:v>23802</x:v>
      </x:c>
      <x:c r="G353" s="145" t="n">
        <x:v>0.020276900172700264</x:v>
      </x:c>
      <x:c r="H353" s="145" t="n">
        <x:v>0.10687040441401148</x:v>
      </x:c>
      <x:c r="I353" s="136" t="str">
        <x:v>POSITIVE-MODEL-MARGIN</x:v>
      </x:c>
      <x:c r="J353" s="136" t="str">
        <x:v>V0.7-CONTROLLED-RESEARCH-SCREEN-NOT-DISTRIBUTION</x:v>
      </x:c>
    </x:row>
    <x:row r="354" ht="22" customHeight="1">
      <x:c r="A354" s="137" t="str">
        <x:v>SCR-0349</x:v>
      </x:c>
      <x:c r="B354" s="142" t="n">
        <x:v>4.897435897435897e-7</x:v>
      </x:c>
      <x:c r="C354" s="142" t="n">
        <x:v>0.008846153846153847</x:v>
      </x:c>
      <x:c r="D354" s="160" t="n">
        <x:v>95</x:v>
      </x:c>
      <x:c r="E354" s="162" t="n">
        <x:v>22241.835936827167</x:v>
      </x:c>
      <x:c r="F354" s="162" t="n">
        <x:v>22241</x:v>
      </x:c>
      <x:c r="G354" s="144" t="n">
        <x:v>0.020518167472077506</x:v>
      </x:c>
      <x:c r="H354" s="144" t="n">
        <x:v>0.10821396222480864</x:v>
      </x:c>
      <x:c r="I354" s="137" t="str">
        <x:v>POSITIVE-MODEL-MARGIN</x:v>
      </x:c>
      <x:c r="J354" s="137" t="str">
        <x:v>V0.7-CONTROLLED-RESEARCH-SCREEN-NOT-DISTRIBUTION</x:v>
      </x:c>
    </x:row>
    <x:row r="355" ht="22" customHeight="1">
      <x:c r="A355" s="136" t="str">
        <x:v>SCR-0350</x:v>
      </x:c>
      <x:c r="B355" s="143" t="n">
        <x:v>4.897435897435897e-7</x:v>
      </x:c>
      <x:c r="C355" s="143" t="n">
        <x:v>0.009153846153846155</x:v>
      </x:c>
      <x:c r="D355" s="161" t="n">
        <x:v>94</x:v>
      </x:c>
      <x:c r="E355" s="163" t="n">
        <x:v>20693.923509632765</x:v>
      </x:c>
      <x:c r="F355" s="163" t="n">
        <x:v>20693</x:v>
      </x:c>
      <x:c r="G355" s="145" t="n">
        <x:v>0.020759662382924097</x:v>
      </x:c>
      <x:c r="H355" s="145" t="n">
        <x:v>0.10956865740169151</x:v>
      </x:c>
      <x:c r="I355" s="136" t="str">
        <x:v>POSITIVE-MODEL-MARGIN</x:v>
      </x:c>
      <x:c r="J355" s="136" t="str">
        <x:v>V0.7-CONTROLLED-RESEARCH-SCREEN-NOT-DISTRIBUTION</x:v>
      </x:c>
    </x:row>
    <x:row r="356" ht="22" customHeight="1">
      <x:c r="A356" s="137" t="str">
        <x:v>SCR-0351</x:v>
      </x:c>
      <x:c r="B356" s="142" t="n">
        <x:v>4.897435897435897e-7</x:v>
      </x:c>
      <x:c r="C356" s="142" t="n">
        <x:v>0.009461538461538462</x:v>
      </x:c>
      <x:c r="D356" s="160" t="n">
        <x:v>94</x:v>
      </x:c>
      <x:c r="E356" s="162" t="n">
        <x:v>19157.931197696893</x:v>
      </x:c>
      <x:c r="F356" s="162" t="n">
        <x:v>19157</x:v>
      </x:c>
      <x:c r="G356" s="144" t="n">
        <x:v>0.021060080069984152</x:v>
      </x:c>
      <x:c r="H356" s="144" t="n">
        <x:v>0.11095355185252005</x:v>
      </x:c>
      <x:c r="I356" s="137" t="str">
        <x:v>POSITIVE-MODEL-MARGIN</x:v>
      </x:c>
      <x:c r="J356" s="137" t="str">
        <x:v>V0.7-CONTROLLED-RESEARCH-SCREEN-NOT-DISTRIBUTION</x:v>
      </x:c>
    </x:row>
    <x:row r="357" ht="22" customHeight="1">
      <x:c r="A357" s="136" t="str">
        <x:v>SCR-0352</x:v>
      </x:c>
      <x:c r="B357" s="143" t="n">
        <x:v>4.897435897435897e-7</x:v>
      </x:c>
      <x:c r="C357" s="143" t="n">
        <x:v>0.00976923076923077</x:v>
      </x:c>
      <x:c r="D357" s="161" t="n">
        <x:v>92</x:v>
      </x:c>
      <x:c r="E357" s="163" t="n">
        <x:v>17635.907125478105</x:v>
      </x:c>
      <x:c r="F357" s="163" t="n">
        <x:v>17635</x:v>
      </x:c>
      <x:c r="G357" s="145" t="n">
        <x:v>0.021243549655458063</x:v>
      </x:c>
      <x:c r="H357" s="145" t="n">
        <x:v>0.11231562457063061</x:v>
      </x:c>
      <x:c r="I357" s="136" t="str">
        <x:v>POSITIVE-MODEL-MARGIN</x:v>
      </x:c>
      <x:c r="J357" s="136" t="str">
        <x:v>V0.7-CONTROLLED-RESEARCH-SCREEN-NOT-DISTRIBUTION</x:v>
      </x:c>
    </x:row>
    <x:row r="358" ht="22" customHeight="1">
      <x:c r="A358" s="137" t="str">
        <x:v>SCR-0353</x:v>
      </x:c>
      <x:c r="B358" s="142" t="n">
        <x:v>4.897435897435897e-7</x:v>
      </x:c>
      <x:c r="C358" s="142" t="n">
        <x:v>0.010076923076923077</x:v>
      </x:c>
      <x:c r="D358" s="160" t="n">
        <x:v>92</x:v>
      </x:c>
      <x:c r="E358" s="162" t="n">
        <x:v>16130.964231306967</x:v>
      </x:c>
      <x:c r="F358" s="162" t="n">
        <x:v>16130</x:v>
      </x:c>
      <x:c r="G358" s="144" t="n">
        <x:v>0.02154404074482059</x:v>
      </x:c>
      <x:c r="H358" s="144" t="n">
        <x:v>0.11370395679160844</x:v>
      </x:c>
      <x:c r="I358" s="137" t="str">
        <x:v>POSITIVE-MODEL-MARGIN</x:v>
      </x:c>
      <x:c r="J358" s="137" t="str">
        <x:v>V0.7-CONTROLLED-RESEARCH-SCREEN-NOT-DISTRIBUTION</x:v>
      </x:c>
    </x:row>
    <x:row r="359" ht="22" customHeight="1">
      <x:c r="A359" s="136" t="str">
        <x:v>SCR-0354</x:v>
      </x:c>
      <x:c r="B359" s="143" t="n">
        <x:v>4.897435897435897e-7</x:v>
      </x:c>
      <x:c r="C359" s="143" t="n">
        <x:v>0.010384615384615384</x:v>
      </x:c>
      <x:c r="D359" s="161" t="n">
        <x:v>91</x:v>
      </x:c>
      <x:c r="E359" s="163" t="n">
        <x:v>14635.137822765977</x:v>
      </x:c>
      <x:c r="F359" s="163" t="n">
        <x:v>14635</x:v>
      </x:c>
      <x:c r="G359" s="145" t="n">
        <x:v>0.021786363890555834</x:v>
      </x:c>
      <x:c r="H359" s="145" t="n">
        <x:v>0.11509791018374597</x:v>
      </x:c>
      <x:c r="I359" s="136" t="str">
        <x:v>POSITIVE-MODEL-MARGIN</x:v>
      </x:c>
      <x:c r="J359" s="136" t="str">
        <x:v>V0.7-CONTROLLED-RESEARCH-SCREEN-NOT-DISTRIBUTION</x:v>
      </x:c>
    </x:row>
    <x:row r="360" ht="22" customHeight="1">
      <x:c r="A360" s="137" t="str">
        <x:v>SCR-0355</x:v>
      </x:c>
      <x:c r="B360" s="142" t="n">
        <x:v>4.897435897435897e-7</x:v>
      </x:c>
      <x:c r="C360" s="142" t="n">
        <x:v>0.010692307692307692</x:v>
      </x:c>
      <x:c r="D360" s="160" t="n">
        <x:v>90</x:v>
      </x:c>
      <x:c r="E360" s="162" t="n">
        <x:v>13157.186321414574</x:v>
      </x:c>
      <x:c r="F360" s="162" t="n">
        <x:v>13157</x:v>
      </x:c>
      <x:c r="G360" s="144" t="n">
        <x:v>0.02202895826000838</x:v>
      </x:c>
      <x:c r="H360" s="144" t="n">
        <x:v>0.11650552765103814</x:v>
      </x:c>
      <x:c r="I360" s="137" t="str">
        <x:v>POSITIVE-MODEL-MARGIN</x:v>
      </x:c>
      <x:c r="J360" s="137" t="str">
        <x:v>V0.7-CONTROLLED-RESEARCH-SCREEN-NOT-DISTRIBUTION</x:v>
      </x:c>
    </x:row>
    <x:row r="361" ht="22" customHeight="1">
      <x:c r="A361" s="136" t="str">
        <x:v>SCR-0356</x:v>
      </x:c>
      <x:c r="B361" s="143" t="n">
        <x:v>4.897435897435897e-7</x:v>
      </x:c>
      <x:c r="C361" s="143" t="n">
        <x:v>0.011</x:v>
      </x:c>
      <x:c r="D361" s="161" t="n">
        <x:v>90</x:v>
      </x:c>
      <x:c r="E361" s="163" t="n">
        <x:v>11687.43868635374</x:v>
      </x:c>
      <x:c r="F361" s="163" t="n">
        <x:v>11687</x:v>
      </x:c>
      <x:c r="G361" s="145" t="n">
        <x:v>0.022329522334612044</x:v>
      </x:c>
      <x:c r="H361" s="145" t="n">
        <x:v>0.11789622322375408</x:v>
      </x:c>
      <x:c r="I361" s="136" t="str">
        <x:v>POSITIVE-MODEL-MARGIN</x:v>
      </x:c>
      <x:c r="J361" s="136" t="str">
        <x:v>V0.7-CONTROLLED-RESEARCH-SCREEN-NOT-DISTRIBUTION</x:v>
      </x:c>
    </x:row>
    <x:row r="362" ht="22" customHeight="1">
      <x:c r="A362" s="137" t="str">
        <x:v>SCR-0357</x:v>
      </x:c>
      <x:c r="B362" s="142" t="n">
        <x:v>4.897435897435897e-7</x:v>
      </x:c>
      <x:c r="C362" s="142" t="n">
        <x:v>0.011307692307692307</x:v>
      </x:c>
      <x:c r="D362" s="160" t="n">
        <x:v>89</x:v>
      </x:c>
      <x:c r="E362" s="162" t="n">
        <x:v>10232.643954963936</x:v>
      </x:c>
      <x:c r="F362" s="162" t="n">
        <x:v>10232</x:v>
      </x:c>
      <x:c r="G362" s="144" t="n">
        <x:v>0.02257249843593876</x:v>
      </x:c>
      <x:c r="H362" s="144" t="n">
        <x:v>0.11932099380108131</x:v>
      </x:c>
      <x:c r="I362" s="137" t="str">
        <x:v>POSITIVE-MODEL-MARGIN</x:v>
      </x:c>
      <x:c r="J362" s="137" t="str">
        <x:v>V0.7-CONTROLLED-RESEARCH-SCREEN-NOT-DISTRIBUTION</x:v>
      </x:c>
    </x:row>
    <x:row r="363" ht="22" customHeight="1">
      <x:c r="A363" s="136" t="str">
        <x:v>SCR-0358</x:v>
      </x:c>
      <x:c r="B363" s="143" t="n">
        <x:v>4.897435897435897e-7</x:v>
      </x:c>
      <x:c r="C363" s="143" t="n">
        <x:v>0.011615384615384614</x:v>
      </x:c>
      <x:c r="D363" s="161" t="n">
        <x:v>88</x:v>
      </x:c>
      <x:c r="E363" s="163" t="n">
        <x:v>8792.094803400269</x:v>
      </x:c>
      <x:c r="F363" s="163" t="n">
        <x:v>8792</x:v>
      </x:c>
      <x:c r="G363" s="145" t="n">
        <x:v>0.022815724194908116</x:v>
      </x:c>
      <x:c r="H363" s="145" t="n">
        <x:v>0.12076044414672144</x:v>
      </x:c>
      <x:c r="I363" s="136" t="str">
        <x:v>POSITIVE-MODEL-MARGIN</x:v>
      </x:c>
      <x:c r="J363" s="136" t="str">
        <x:v>V0.7-CONTROLLED-RESEARCH-SCREEN-NOT-DISTRIBUTION</x:v>
      </x:c>
    </x:row>
    <x:row r="364" ht="22" customHeight="1">
      <x:c r="A364" s="137" t="str">
        <x:v>SCR-0359</x:v>
      </x:c>
      <x:c r="B364" s="142" t="n">
        <x:v>4.897435897435897e-7</x:v>
      </x:c>
      <x:c r="C364" s="142" t="n">
        <x:v>0.011923076923076925</x:v>
      </x:c>
      <x:c r="D364" s="160" t="n">
        <x:v>87</x:v>
      </x:c>
      <x:c r="E364" s="162" t="n">
        <x:v>7367.262670860586</x:v>
      </x:c>
      <x:c r="F364" s="162" t="n">
        <x:v>7367</x:v>
      </x:c>
      <x:c r="G364" s="144" t="n">
        <x:v>0.023059273578803184</x:v>
      </x:c>
      <x:c r="H364" s="144" t="n">
        <x:v>0.12221606751728033</x:v>
      </x:c>
      <x:c r="I364" s="137" t="str">
        <x:v>POSITIVE-MODEL-MARGIN</x:v>
      </x:c>
      <x:c r="J364" s="137" t="str">
        <x:v>V0.7-CONTROLLED-RESEARCH-SCREEN-NOT-DISTRIBUTION</x:v>
      </x:c>
    </x:row>
    <x:row r="365" ht="22" customHeight="1">
      <x:c r="A365" s="136" t="str">
        <x:v>SCR-0360</x:v>
      </x:c>
      <x:c r="B365" s="143" t="n">
        <x:v>4.897435897435897e-7</x:v>
      </x:c>
      <x:c r="C365" s="143" t="n">
        <x:v>0.012230769230769233</x:v>
      </x:c>
      <x:c r="D365" s="161" t="n">
        <x:v>86</x:v>
      </x:c>
      <x:c r="E365" s="163" t="n">
        <x:v>5953.14784604419</x:v>
      </x:c>
      <x:c r="F365" s="163" t="n">
        <x:v>5953</x:v>
      </x:c>
      <x:c r="G365" s="145" t="n">
        <x:v>0.02330305072767135</x:v>
      </x:c>
      <x:c r="H365" s="145" t="n">
        <x:v>0.12368737907018254</x:v>
      </x:c>
      <x:c r="I365" s="136" t="str">
        <x:v>POSITIVE-MODEL-MARGIN</x:v>
      </x:c>
      <x:c r="J365" s="136" t="str">
        <x:v>V0.7-CONTROLLED-RESEARCH-SCREEN-NOT-DISTRIBUTION</x:v>
      </x:c>
    </x:row>
    <x:row r="366" ht="22" customHeight="1">
      <x:c r="A366" s="137" t="str">
        <x:v>SCR-0361</x:v>
      </x:c>
      <x:c r="B366" s="142" t="n">
        <x:v>4.897435897435897e-7</x:v>
      </x:c>
      <x:c r="C366" s="142" t="n">
        <x:v>0.01253846153846154</x:v>
      </x:c>
      <x:c r="D366" s="160" t="n">
        <x:v>85</x:v>
      </x:c>
      <x:c r="E366" s="162" t="n">
        <x:v>4554.985167800351</x:v>
      </x:c>
      <x:c r="F366" s="162" t="n">
        <x:v>4554</x:v>
      </x:c>
      <x:c r="G366" s="144" t="n">
        <x:v>0.023547129360950252</x:v>
      </x:c>
      <x:c r="H366" s="144" t="n">
        <x:v>0.1251759487102288</x:v>
      </x:c>
      <x:c r="I366" s="137" t="str">
        <x:v>POSITIVE-MODEL-MARGIN</x:v>
      </x:c>
      <x:c r="J366" s="137" t="str">
        <x:v>V0.7-CONTROLLED-RESEARCH-SCREEN-NOT-DISTRIBUTION</x:v>
      </x:c>
    </x:row>
    <x:row r="367" ht="22" customHeight="1">
      <x:c r="A367" s="136" t="str">
        <x:v>SCR-0362</x:v>
      </x:c>
      <x:c r="B367" s="143" t="n">
        <x:v>4.897435897435897e-7</x:v>
      </x:c>
      <x:c r="C367" s="143" t="n">
        <x:v>0.012846153846153847</x:v>
      </x:c>
      <x:c r="D367" s="161" t="n">
        <x:v>84</x:v>
      </x:c>
      <x:c r="E367" s="163" t="n">
        <x:v>3170.8394511299302</x:v>
      </x:c>
      <x:c r="F367" s="163" t="n">
        <x:v>3170</x:v>
      </x:c>
      <x:c r="G367" s="145" t="n">
        <x:v>0.02379149823104117</x:v>
      </x:c>
      <x:c r="H367" s="145" t="n">
        <x:v>0.12667876388717714</x:v>
      </x:c>
      <x:c r="I367" s="136" t="str">
        <x:v>POSITIVE-MODEL-MARGIN</x:v>
      </x:c>
      <x:c r="J367" s="136" t="str">
        <x:v>V0.7-CONTROLLED-RESEARCH-SCREEN-NOT-DISTRIBUTION</x:v>
      </x:c>
    </x:row>
    <x:row r="368" ht="22" customHeight="1">
      <x:c r="A368" s="137" t="str">
        <x:v>SCR-0363</x:v>
      </x:c>
      <x:c r="B368" s="142" t="n">
        <x:v>4.897435897435897e-7</x:v>
      </x:c>
      <x:c r="C368" s="142" t="n">
        <x:v>0.013153846153846155</x:v>
      </x:c>
      <x:c r="D368" s="160" t="n">
        <x:v>83</x:v>
      </x:c>
      <x:c r="E368" s="162" t="n">
        <x:v>1802.6453976378289</x:v>
      </x:c>
      <x:c r="F368" s="162" t="n">
        <x:v>1802</x:v>
      </x:c>
      <x:c r="G368" s="144" t="n">
        <x:v>0.024036230920453983</x:v>
      </x:c>
      <x:c r="H368" s="144" t="n">
        <x:v>0.1281964699066323</x:v>
      </x:c>
      <x:c r="I368" s="137" t="str">
        <x:v>POSITIVE-MODEL-MARGIN</x:v>
      </x:c>
      <x:c r="J368" s="137" t="str">
        <x:v>V0.7-CONTROLLED-RESEARCH-SCREEN-NOT-DISTRIBUTION</x:v>
      </x:c>
    </x:row>
    <x:row r="369" ht="22" customHeight="1">
      <x:c r="A369" s="136" t="str">
        <x:v>SCR-0364</x:v>
      </x:c>
      <x:c r="B369" s="143" t="n">
        <x:v>4.897435897435897e-7</x:v>
      </x:c>
      <x:c r="C369" s="143" t="n">
        <x:v>0.013461538461538462</x:v>
      </x:c>
      <x:c r="D369" s="161" t="n">
        <x:v>82</x:v>
      </x:c>
      <x:c r="E369" s="163" t="n">
        <x:v>447.1257789469129</x:v>
      </x:c>
      <x:c r="F369" s="163" t="n">
        <x:v>447</x:v>
      </x:c>
      <x:c r="G369" s="145" t="n">
        <x:v>0.024281231049654753</x:v>
      </x:c>
      <x:c r="H369" s="145" t="n">
        <x:v>0.12973303762845048</x:v>
      </x:c>
      <x:c r="I369" s="136" t="str">
        <x:v>POSITIVE-MODEL-MARGIN</x:v>
      </x:c>
      <x:c r="J369" s="136" t="str">
        <x:v>V0.7-CONTROLLED-RESEARCH-SCREEN-NOT-DISTRIBUTION</x:v>
      </x:c>
    </x:row>
    <x:row r="370" ht="22" customHeight="1">
      <x:c r="A370" s="137" t="str">
        <x:v>SCR-0365</x:v>
      </x:c>
      <x:c r="B370" s="142" t="n">
        <x:v>4.897435897435897e-7</x:v>
      </x:c>
      <x:c r="C370" s="142" t="n">
        <x:v>0.01376923076923077</x:v>
      </x:c>
      <x:c r="D370" s="160" t="n">
        <x:v>81</x:v>
      </x:c>
      <x:c r="E370" s="162" t="n">
        <x:v>-894.1913775183892</x:v>
      </x:c>
      <x:c r="F370" s="162" t="n">
        <x:v>0</x:v>
      </x:c>
      <x:c r="G370" s="144" t="n">
        <x:v>0.024526572046209602</x:v>
      </x:c>
      <x:c r="H370" s="144" t="n">
        <x:v>0.13129025701997357</x:v>
      </x:c>
      <x:c r="I370" s="137" t="str">
        <x:v>NONPOSITIVE-MODEL-MARGIN</x:v>
      </x:c>
      <x:c r="J370" s="137" t="str">
        <x:v>V0.7-CONTROLLED-RESEARCH-SCREEN-NOT-DISTRIBUTION</x:v>
      </x:c>
    </x:row>
    <x:row r="371" ht="22" customHeight="1">
      <x:c r="A371" s="136" t="str">
        <x:v>SCR-0366</x:v>
      </x:c>
      <x:c r="B371" s="143" t="n">
        <x:v>4.897435897435897e-7</x:v>
      </x:c>
      <x:c r="C371" s="143" t="n">
        <x:v>0.014076923076923077</x:v>
      </x:c>
      <x:c r="D371" s="161" t="n">
        <x:v>80</x:v>
      </x:c>
      <x:c r="E371" s="163" t="n">
        <x:v>-2217.4817492713737</x:v>
      </x:c>
      <x:c r="F371" s="163" t="n">
        <x:v>0</x:v>
      </x:c>
      <x:c r="G371" s="145" t="n">
        <x:v>0.02477224230960057</x:v>
      </x:c>
      <x:c r="H371" s="145" t="n">
        <x:v>0.1328688996418691</x:v>
      </x:c>
      <x:c r="I371" s="136" t="str">
        <x:v>NONPOSITIVE-MODEL-MARGIN</x:v>
      </x:c>
      <x:c r="J371" s="136" t="str">
        <x:v>V0.7-CONTROLLED-RESEARCH-SCREEN-NOT-DISTRIBUTION</x:v>
      </x:c>
    </x:row>
    <x:row r="372" ht="22" customHeight="1">
      <x:c r="A372" s="137" t="str">
        <x:v>SCR-0367</x:v>
      </x:c>
      <x:c r="B372" s="142" t="n">
        <x:v>4.897435897435897e-7</x:v>
      </x:c>
      <x:c r="C372" s="142" t="n">
        <x:v>0.014384615384615385</x:v>
      </x:c>
      <x:c r="D372" s="160" t="n">
        <x:v>1</x:v>
      </x:c>
      <x:c r="E372" s="162" t="n">
        <x:v>-2425.6478557715877</x:v>
      </x:c>
      <x:c r="F372" s="162" t="n">
        <x:v>0</x:v>
      </x:c>
      <x:c r="G372" s="144" t="n">
        <x:v>0.022350308107931066</x:v>
      </x:c>
      <x:c r="H372" s="144" t="n">
        <x:v>0.5</x:v>
      </x:c>
      <x:c r="I372" s="137" t="str">
        <x:v>NONPOSITIVE-MODEL-MARGIN</x:v>
      </x:c>
      <x:c r="J372" s="137" t="str">
        <x:v>V0.7-CONTROLLED-RESEARCH-SCREEN-NOT-DISTRIBUTION</x:v>
      </x:c>
    </x:row>
    <x:row r="373" ht="22" customHeight="1">
      <x:c r="A373" s="136" t="str">
        <x:v>SCR-0368</x:v>
      </x:c>
      <x:c r="B373" s="143" t="n">
        <x:v>4.897435897435897e-7</x:v>
      </x:c>
      <x:c r="C373" s="143" t="n">
        <x:v>0.014692307692307692</x:v>
      </x:c>
      <x:c r="D373" s="161" t="n">
        <x:v>1</x:v>
      </x:c>
      <x:c r="E373" s="163" t="n">
        <x:v>-2444.486217946415</x:v>
      </x:c>
      <x:c r="F373" s="163" t="n">
        <x:v>0</x:v>
      </x:c>
      <x:c r="G373" s="145" t="n">
        <x:v>0.02265295386944158</x:v>
      </x:c>
      <x:c r="H373" s="145" t="n">
        <x:v>0.5</x:v>
      </x:c>
      <x:c r="I373" s="136" t="str">
        <x:v>NONPOSITIVE-MODEL-MARGIN</x:v>
      </x:c>
      <x:c r="J373" s="136" t="str">
        <x:v>V0.7-CONTROLLED-RESEARCH-SCREEN-NOT-DISTRIBUTION</x:v>
      </x:c>
    </x:row>
    <x:row r="374" ht="22" customHeight="1">
      <x:c r="A374" s="137" t="str">
        <x:v>SCR-0369</x:v>
      </x:c>
      <x:c r="B374" s="142" t="n">
        <x:v>4.897435897435897e-7</x:v>
      </x:c>
      <x:c r="C374" s="142" t="n">
        <x:v>0.015</x:v>
      </x:c>
      <x:c r="D374" s="160" t="n">
        <x:v>1</x:v>
      </x:c>
      <x:c r="E374" s="162" t="n">
        <x:v>-2463.2644999330323</x:v>
      </x:c>
      <x:c r="F374" s="162" t="n">
        <x:v>0</x:v>
      </x:c>
      <x:c r="G374" s="144" t="n">
        <x:v>0.022955599630952107</x:v>
      </x:c>
      <x:c r="H374" s="144" t="n">
        <x:v>0.5</x:v>
      </x:c>
      <x:c r="I374" s="137" t="str">
        <x:v>NONPOSITIVE-MODEL-MARGIN</x:v>
      </x:c>
      <x:c r="J374" s="137" t="str">
        <x:v>V0.7-CONTROLLED-RESEARCH-SCREEN-NOT-DISTRIBUTION</x:v>
      </x:c>
    </x:row>
    <x:row r="375" ht="22" customHeight="1">
      <x:c r="A375" s="136" t="str">
        <x:v>SCR-0370</x:v>
      </x:c>
      <x:c r="B375" s="143" t="n">
        <x:v>5e-7</x:v>
      </x:c>
      <x:c r="C375" s="143" t="n">
        <x:v>0.003</x:v>
      </x:c>
      <x:c r="D375" s="161" t="n">
        <x:v>105</x:v>
      </x:c>
      <x:c r="E375" s="163" t="n">
        <x:v>52757.22257138227</x:v>
      </x:c>
      <x:c r="F375" s="163" t="n">
        <x:v>52757</x:v>
      </x:c>
      <x:c r="G375" s="145" t="n">
        <x:v>0.015659856425034688</x:v>
      </x:c>
      <x:c r="H375" s="145" t="n">
        <x:v>0.0840678834013638</x:v>
      </x:c>
      <x:c r="I375" s="136" t="str">
        <x:v>POSITIVE-MODEL-MARGIN</x:v>
      </x:c>
      <x:c r="J375" s="136" t="str">
        <x:v>V0.7-CONTROLLED-RESEARCH-SCREEN-NOT-DISTRIBUTION</x:v>
      </x:c>
    </x:row>
    <x:row r="376" ht="22" customHeight="1">
      <x:c r="A376" s="137" t="str">
        <x:v>SCR-0371</x:v>
      </x:c>
      <x:c r="B376" s="142" t="n">
        <x:v>5e-7</x:v>
      </x:c>
      <x:c r="C376" s="142" t="n">
        <x:v>0.003307692307692308</x:v>
      </x:c>
      <x:c r="D376" s="160" t="n">
        <x:v>105</x:v>
      </x:c>
      <x:c r="E376" s="162" t="n">
        <x:v>50963.499210570706</x:v>
      </x:c>
      <x:c r="F376" s="162" t="n">
        <x:v>50963</x:v>
      </x:c>
      <x:c r="G376" s="144" t="n">
        <x:v>0.01595971163651266</x:v>
      </x:c>
      <x:c r="H376" s="144" t="n">
        <x:v>0.08545757404499926</x:v>
      </x:c>
      <x:c r="I376" s="137" t="str">
        <x:v>POSITIVE-MODEL-MARGIN</x:v>
      </x:c>
      <x:c r="J376" s="137" t="str">
        <x:v>V0.7-CONTROLLED-RESEARCH-SCREEN-NOT-DISTRIBUTION</x:v>
      </x:c>
    </x:row>
    <x:row r="377" ht="22" customHeight="1">
      <x:c r="A377" s="136" t="str">
        <x:v>SCR-0372</x:v>
      </x:c>
      <x:c r="B377" s="143" t="n">
        <x:v>5e-7</x:v>
      </x:c>
      <x:c r="C377" s="143" t="n">
        <x:v>0.0036153846153846154</x:v>
      </x:c>
      <x:c r="D377" s="161" t="n">
        <x:v>105</x:v>
      </x:c>
      <x:c r="E377" s="163" t="n">
        <x:v>49181.87453377208</x:v>
      </x:c>
      <x:c r="F377" s="163" t="n">
        <x:v>49181</x:v>
      </x:c>
      <x:c r="G377" s="145" t="n">
        <x:v>0.016259566847990632</x:v>
      </x:c>
      <x:c r="H377" s="145" t="n">
        <x:v>0.08684514297556811</x:v>
      </x:c>
      <x:c r="I377" s="136" t="str">
        <x:v>POSITIVE-MODEL-MARGIN</x:v>
      </x:c>
      <x:c r="J377" s="136" t="str">
        <x:v>V0.7-CONTROLLED-RESEARCH-SCREEN-NOT-DISTRIBUTION</x:v>
      </x:c>
    </x:row>
    <x:row r="378" ht="22" customHeight="1">
      <x:c r="A378" s="137" t="str">
        <x:v>SCR-0373</x:v>
      </x:c>
      <x:c r="B378" s="142" t="n">
        <x:v>5e-7</x:v>
      </x:c>
      <x:c r="C378" s="142" t="n">
        <x:v>0.003923076923076923</x:v>
      </x:c>
      <x:c r="D378" s="160" t="n">
        <x:v>104</x:v>
      </x:c>
      <x:c r="E378" s="162" t="n">
        <x:v>47410.18439569587</x:v>
      </x:c>
      <x:c r="F378" s="162" t="n">
        <x:v>47410</x:v>
      </x:c>
      <x:c r="G378" s="144" t="n">
        <x:v>0.016497058699170508</x:v>
      </x:c>
      <x:c r="H378" s="144" t="n">
        <x:v>0.0880962104781587</x:v>
      </x:c>
      <x:c r="I378" s="137" t="str">
        <x:v>POSITIVE-MODEL-MARGIN</x:v>
      </x:c>
      <x:c r="J378" s="137" t="str">
        <x:v>V0.7-CONTROLLED-RESEARCH-SCREEN-NOT-DISTRIBUTION</x:v>
      </x:c>
    </x:row>
    <x:row r="379" ht="22" customHeight="1">
      <x:c r="A379" s="136" t="str">
        <x:v>SCR-0374</x:v>
      </x:c>
      <x:c r="B379" s="143" t="n">
        <x:v>5e-7</x:v>
      </x:c>
      <x:c r="C379" s="143" t="n">
        <x:v>0.004230769230769231</x:v>
      </x:c>
      <x:c r="D379" s="161" t="n">
        <x:v>104</x:v>
      </x:c>
      <x:c r="E379" s="163" t="n">
        <x:v>45658.12413937074</x:v>
      </x:c>
      <x:c r="F379" s="163" t="n">
        <x:v>45658</x:v>
      </x:c>
      <x:c r="G379" s="145" t="n">
        <x:v>0.01679695259163664</x:v>
      </x:c>
      <x:c r="H379" s="145" t="n">
        <x:v>0.08948233920160009</x:v>
      </x:c>
      <x:c r="I379" s="136" t="str">
        <x:v>POSITIVE-MODEL-MARGIN</x:v>
      </x:c>
      <x:c r="J379" s="136" t="str">
        <x:v>V0.7-CONTROLLED-RESEARCH-SCREEN-NOT-DISTRIBUTION</x:v>
      </x:c>
    </x:row>
    <x:row r="380" ht="22" customHeight="1">
      <x:c r="A380" s="137" t="str">
        <x:v>SCR-0375</x:v>
      </x:c>
      <x:c r="B380" s="142" t="n">
        <x:v>5e-7</x:v>
      </x:c>
      <x:c r="C380" s="142" t="n">
        <x:v>0.004538461538461538</x:v>
      </x:c>
      <x:c r="D380" s="160" t="n">
        <x:v>102</x:v>
      </x:c>
      <x:c r="E380" s="162" t="n">
        <x:v>43920.27650510317</x:v>
      </x:c>
      <x:c r="F380" s="162" t="n">
        <x:v>43920</x:v>
      </x:c>
      <x:c r="G380" s="144" t="n">
        <x:v>0.016972730208208144</x:v>
      </x:c>
      <x:c r="H380" s="144" t="n">
        <x:v>0.09062090911919629</x:v>
      </x:c>
      <x:c r="I380" s="137" t="str">
        <x:v>POSITIVE-MODEL-MARGIN</x:v>
      </x:c>
      <x:c r="J380" s="137" t="str">
        <x:v>V0.7-CONTROLLED-RESEARCH-SCREEN-NOT-DISTRIBUTION</x:v>
      </x:c>
    </x:row>
    <x:row r="381" ht="22" customHeight="1">
      <x:c r="A381" s="136" t="str">
        <x:v>SCR-0376</x:v>
      </x:c>
      <x:c r="B381" s="143" t="n">
        <x:v>5e-7</x:v>
      </x:c>
      <x:c r="C381" s="143" t="n">
        <x:v>0.004846153846153846</x:v>
      </x:c>
      <x:c r="D381" s="161" t="n">
        <x:v>102</x:v>
      </x:c>
      <x:c r="E381" s="163" t="n">
        <x:v>42195.05508339521</x:v>
      </x:c>
      <x:c r="F381" s="163" t="n">
        <x:v>42195</x:v>
      </x:c>
      <x:c r="G381" s="145" t="n">
        <x:v>0.017272701179637875</x:v>
      </x:c>
      <x:c r="H381" s="145" t="n">
        <x:v>0.09200852730016867</x:v>
      </x:c>
      <x:c r="I381" s="136" t="str">
        <x:v>POSITIVE-MODEL-MARGIN</x:v>
      </x:c>
      <x:c r="J381" s="136" t="str">
        <x:v>V0.7-CONTROLLED-RESEARCH-SCREEN-NOT-DISTRIBUTION</x:v>
      </x:c>
    </x:row>
    <x:row r="382" ht="22" customHeight="1">
      <x:c r="A382" s="137" t="str">
        <x:v>SCR-0377</x:v>
      </x:c>
      <x:c r="B382" s="142" t="n">
        <x:v>5e-7</x:v>
      </x:c>
      <x:c r="C382" s="142" t="n">
        <x:v>0.005</x:v>
      </x:c>
      <x:c r="D382" s="160" t="n">
        <x:v>102</x:v>
      </x:c>
      <x:c r="E382" s="162" t="n">
        <x:v>41338.62418456675</x:v>
      </x:c>
      <x:c r="F382" s="162" t="n">
        <x:v>41338</x:v>
      </x:c>
      <x:c r="G382" s="144" t="n">
        <x:v>0.017422686665352745</x:v>
      </x:c>
      <x:c r="H382" s="144" t="n">
        <x:v>0.09270161340569935</x:v>
      </x:c>
      <x:c r="I382" s="137" t="str">
        <x:v>POSITIVE-MODEL-MARGIN</x:v>
      </x:c>
      <x:c r="J382" s="137" t="str">
        <x:v>V0.7-CONTROLLED-RESEARCH-SCREEN-NOT-DISTRIBUTION</x:v>
      </x:c>
    </x:row>
    <x:row r="383" ht="22" customHeight="1">
      <x:c r="A383" s="136" t="str">
        <x:v>SCR-0378</x:v>
      </x:c>
      <x:c r="B383" s="143" t="n">
        <x:v>5e-7</x:v>
      </x:c>
      <x:c r="C383" s="143" t="n">
        <x:v>0.005153846153846154</x:v>
      </x:c>
      <x:c r="D383" s="161" t="n">
        <x:v>101</x:v>
      </x:c>
      <x:c r="E383" s="163" t="n">
        <x:v>40485.99671643729</x:v>
      </x:c>
      <x:c r="F383" s="163" t="n">
        <x:v>40485</x:v>
      </x:c>
      <x:c r="G383" s="145" t="n">
        <x:v>0.017510900798516256</x:v>
      </x:c>
      <x:c r="H383" s="145" t="n">
        <x:v>0.09328345130921137</x:v>
      </x:c>
      <x:c r="I383" s="136" t="str">
        <x:v>POSITIVE-MODEL-MARGIN</x:v>
      </x:c>
      <x:c r="J383" s="136" t="str">
        <x:v>V0.7-CONTROLLED-RESEARCH-SCREEN-NOT-DISTRIBUTION</x:v>
      </x:c>
    </x:row>
    <x:row r="384" ht="22" customHeight="1">
      <x:c r="A384" s="137" t="str">
        <x:v>SCR-0379</x:v>
      </x:c>
      <x:c r="B384" s="142" t="n">
        <x:v>5e-7</x:v>
      </x:c>
      <x:c r="C384" s="142" t="n">
        <x:v>0.005461538461538462</x:v>
      </x:c>
      <x:c r="D384" s="160" t="n">
        <x:v>102</x:v>
      </x:c>
      <x:c r="E384" s="162" t="n">
        <x:v>38789.64523331459</x:v>
      </x:c>
      <x:c r="F384" s="162" t="n">
        <x:v>38789</x:v>
      </x:c>
      <x:c r="G384" s="144" t="n">
        <x:v>0.017872643122497357</x:v>
      </x:c>
      <x:c r="H384" s="144" t="n">
        <x:v>0.09477804894326064</x:v>
      </x:c>
      <x:c r="I384" s="137" t="str">
        <x:v>POSITIVE-MODEL-MARGIN</x:v>
      </x:c>
      <x:c r="J384" s="137" t="str">
        <x:v>V0.7-CONTROLLED-RESEARCH-SCREEN-NOT-DISTRIBUTION</x:v>
      </x:c>
    </x:row>
    <x:row r="385" ht="22" customHeight="1">
      <x:c r="A385" s="136" t="str">
        <x:v>SCR-0380</x:v>
      </x:c>
      <x:c r="B385" s="143" t="n">
        <x:v>5e-7</x:v>
      </x:c>
      <x:c r="C385" s="143" t="n">
        <x:v>0.0057692307692307696</x:v>
      </x:c>
      <x:c r="D385" s="161" t="n">
        <x:v>100</x:v>
      </x:c>
      <x:c r="E385" s="163" t="n">
        <x:v>37109.184261224225</x:v>
      </x:c>
      <x:c r="F385" s="163" t="n">
        <x:v>37109</x:v>
      </x:c>
      <x:c r="G385" s="145" t="n">
        <x:v>0.018049440114801623</x:v>
      </x:c>
      <x:c r="H385" s="145" t="n">
        <x:v>0.09595497239136244</x:v>
      </x:c>
      <x:c r="I385" s="136" t="str">
        <x:v>POSITIVE-MODEL-MARGIN</x:v>
      </x:c>
      <x:c r="J385" s="136" t="str">
        <x:v>V0.7-CONTROLLED-RESEARCH-SCREEN-NOT-DISTRIBUTION</x:v>
      </x:c>
    </x:row>
    <x:row r="386" ht="22" customHeight="1">
      <x:c r="A386" s="137" t="str">
        <x:v>SCR-0381</x:v>
      </x:c>
      <x:c r="B386" s="142" t="n">
        <x:v>5e-7</x:v>
      </x:c>
      <x:c r="C386" s="142" t="n">
        <x:v>0.006076923076923077</x:v>
      </x:c>
      <x:c r="D386" s="160" t="n">
        <x:v>100</x:v>
      </x:c>
      <x:c r="E386" s="162" t="n">
        <x:v>35439.59241312919</x:v>
      </x:c>
      <x:c r="F386" s="162" t="n">
        <x:v>35439</x:v>
      </x:c>
      <x:c r="G386" s="144" t="n">
        <x:v>0.018349487770498284</x:v>
      </x:c>
      <x:c r="H386" s="144" t="n">
        <x:v>0.09734071917136808</x:v>
      </x:c>
      <x:c r="I386" s="137" t="str">
        <x:v>POSITIVE-MODEL-MARGIN</x:v>
      </x:c>
      <x:c r="J386" s="137" t="str">
        <x:v>V0.7-CONTROLLED-RESEARCH-SCREEN-NOT-DISTRIBUTION</x:v>
      </x:c>
    </x:row>
    <x:row r="387" ht="22" customHeight="1">
      <x:c r="A387" s="136" t="str">
        <x:v>SCR-0382</x:v>
      </x:c>
      <x:c r="B387" s="143" t="n">
        <x:v>5e-7</x:v>
      </x:c>
      <x:c r="C387" s="143" t="n">
        <x:v>0.006384615384615384</x:v>
      </x:c>
      <x:c r="D387" s="161" t="n">
        <x:v>100</x:v>
      </x:c>
      <x:c r="E387" s="163" t="n">
        <x:v>33784.272288302214</x:v>
      </x:c>
      <x:c r="F387" s="163" t="n">
        <x:v>33784</x:v>
      </x:c>
      <x:c r="G387" s="145" t="n">
        <x:v>0.01864953542619494</x:v>
      </x:c>
      <x:c r="H387" s="145" t="n">
        <x:v>0.09872468724132763</x:v>
      </x:c>
      <x:c r="I387" s="136" t="str">
        <x:v>POSITIVE-MODEL-MARGIN</x:v>
      </x:c>
      <x:c r="J387" s="136" t="str">
        <x:v>V0.7-CONTROLLED-RESEARCH-SCREEN-NOT-DISTRIBUTION</x:v>
      </x:c>
    </x:row>
    <x:row r="388" ht="22" customHeight="1">
      <x:c r="A388" s="137" t="str">
        <x:v>SCR-0383</x:v>
      </x:c>
      <x:c r="B388" s="142" t="n">
        <x:v>5e-7</x:v>
      </x:c>
      <x:c r="C388" s="142" t="n">
        <x:v>0.006692307692307693</x:v>
      </x:c>
      <x:c r="D388" s="160" t="n">
        <x:v>99</x:v>
      </x:c>
      <x:c r="E388" s="162" t="n">
        <x:v>32140.73689573525</x:v>
      </x:c>
      <x:c r="F388" s="162" t="n">
        <x:v>32140</x:v>
      </x:c>
      <x:c r="G388" s="144" t="n">
        <x:v>0.018888336484168974</x:v>
      </x:c>
      <x:c r="H388" s="144" t="n">
        <x:v>0.10002032009271411</x:v>
      </x:c>
      <x:c r="I388" s="137" t="str">
        <x:v>POSITIVE-MODEL-MARGIN</x:v>
      </x:c>
      <x:c r="J388" s="137" t="str">
        <x:v>V0.7-CONTROLLED-RESEARCH-SCREEN-NOT-DISTRIBUTION</x:v>
      </x:c>
    </x:row>
    <x:row r="389" ht="22" customHeight="1">
      <x:c r="A389" s="136" t="str">
        <x:v>SCR-0384</x:v>
      </x:c>
      <x:c r="B389" s="143" t="n">
        <x:v>5e-7</x:v>
      </x:c>
      <x:c r="C389" s="143" t="n">
        <x:v>0.007</x:v>
      </x:c>
      <x:c r="D389" s="161" t="n">
        <x:v>98</x:v>
      </x:c>
      <x:c r="E389" s="163" t="n">
        <x:v>30513.336476936314</x:v>
      </x:c>
      <x:c r="F389" s="163" t="n">
        <x:v>30513</x:v>
      </x:c>
      <x:c r="G389" s="145" t="n">
        <x:v>0.019127409839045838</x:v>
      </x:c>
      <x:c r="H389" s="145" t="n">
        <x:v>0.10132574641301893</x:v>
      </x:c>
      <x:c r="I389" s="136" t="str">
        <x:v>POSITIVE-MODEL-MARGIN</x:v>
      </x:c>
      <x:c r="J389" s="136" t="str">
        <x:v>V0.7-CONTROLLED-RESEARCH-SCREEN-NOT-DISTRIBUTION</x:v>
      </x:c>
    </x:row>
    <x:row r="390" ht="22" customHeight="1">
      <x:c r="A390" s="137" t="str">
        <x:v>SCR-0385</x:v>
      </x:c>
      <x:c r="B390" s="142" t="n">
        <x:v>5e-7</x:v>
      </x:c>
      <x:c r="C390" s="142" t="n">
        <x:v>0.007307692307692308</x:v>
      </x:c>
      <x:c r="D390" s="160" t="n">
        <x:v>98</x:v>
      </x:c>
      <x:c r="E390" s="162" t="n">
        <x:v>28900.71110178772</x:v>
      </x:c>
      <x:c r="F390" s="162" t="n">
        <x:v>28900</x:v>
      </x:c>
      <x:c r="G390" s="144" t="n">
        <x:v>0.01942753377561159</x:v>
      </x:c>
      <x:c r="H390" s="144" t="n">
        <x:v>0.10271031636484695</x:v>
      </x:c>
      <x:c r="I390" s="137" t="str">
        <x:v>POSITIVE-MODEL-MARGIN</x:v>
      </x:c>
      <x:c r="J390" s="137" t="str">
        <x:v>V0.7-CONTROLLED-RESEARCH-SCREEN-NOT-DISTRIBUTION</x:v>
      </x:c>
    </x:row>
    <x:row r="391" ht="22" customHeight="1">
      <x:c r="A391" s="136" t="str">
        <x:v>SCR-0386</x:v>
      </x:c>
      <x:c r="B391" s="143" t="n">
        <x:v>5e-7</x:v>
      </x:c>
      <x:c r="C391" s="143" t="n">
        <x:v>0.007615384615384616</x:v>
      </x:c>
      <x:c r="D391" s="161" t="n">
        <x:v>96</x:v>
      </x:c>
      <x:c r="E391" s="163" t="n">
        <x:v>27299.266198921225</x:v>
      </x:c>
      <x:c r="F391" s="163" t="n">
        <x:v>27299</x:v>
      </x:c>
      <x:c r="G391" s="145" t="n">
        <x:v>0.019606333772897094</x:v>
      </x:c>
      <x:c r="H391" s="145" t="n">
        <x:v>0.10396711544474327</x:v>
      </x:c>
      <x:c r="I391" s="136" t="str">
        <x:v>POSITIVE-MODEL-MARGIN</x:v>
      </x:c>
      <x:c r="J391" s="136" t="str">
        <x:v>V0.7-CONTROLLED-RESEARCH-SCREEN-NOT-DISTRIBUTION</x:v>
      </x:c>
    </x:row>
    <x:row r="392" ht="22" customHeight="1">
      <x:c r="A392" s="137" t="str">
        <x:v>SCR-0387</x:v>
      </x:c>
      <x:c r="B392" s="142" t="n">
        <x:v>5e-7</x:v>
      </x:c>
      <x:c r="C392" s="142" t="n">
        <x:v>0.007923076923076923</x:v>
      </x:c>
      <x:c r="D392" s="160" t="n">
        <x:v>96</x:v>
      </x:c>
      <x:c r="E392" s="162" t="n">
        <x:v>25714.94715498381</x:v>
      </x:c>
      <x:c r="F392" s="162" t="n">
        <x:v>25714</x:v>
      </x:c>
      <x:c r="G392" s="144" t="n">
        <x:v>0.019906533525155687</x:v>
      </x:c>
      <x:c r="H392" s="144" t="n">
        <x:v>0.10535436035559344</x:v>
      </x:c>
      <x:c r="I392" s="137" t="str">
        <x:v>POSITIVE-MODEL-MARGIN</x:v>
      </x:c>
      <x:c r="J392" s="137" t="str">
        <x:v>V0.7-CONTROLLED-RESEARCH-SCREEN-NOT-DISTRIBUTION</x:v>
      </x:c>
    </x:row>
    <x:row r="393" ht="22" customHeight="1">
      <x:c r="A393" s="136" t="str">
        <x:v>SCR-0388</x:v>
      </x:c>
      <x:c r="B393" s="143" t="n">
        <x:v>5e-7</x:v>
      </x:c>
      <x:c r="C393" s="143" t="n">
        <x:v>0.00823076923076923</x:v>
      </x:c>
      <x:c r="D393" s="161" t="n">
        <x:v>95</x:v>
      </x:c>
      <x:c r="E393" s="163" t="n">
        <x:v>24140.5033271162</x:v>
      </x:c>
      <x:c r="F393" s="163" t="n">
        <x:v>24140</x:v>
      </x:c>
      <x:c r="G393" s="145" t="n">
        <x:v>0.020146401787298044</x:v>
      </x:c>
      <x:c r="H393" s="145" t="n">
        <x:v>0.10669236472033646</x:v>
      </x:c>
      <x:c r="I393" s="136" t="str">
        <x:v>POSITIVE-MODEL-MARGIN</x:v>
      </x:c>
      <x:c r="J393" s="136" t="str">
        <x:v>V0.7-CONTROLLED-RESEARCH-SCREEN-NOT-DISTRIBUTION</x:v>
      </x:c>
    </x:row>
    <x:row r="394" ht="22" customHeight="1">
      <x:c r="A394" s="137" t="str">
        <x:v>SCR-0389</x:v>
      </x:c>
      <x:c r="B394" s="142" t="n">
        <x:v>5e-7</x:v>
      </x:c>
      <x:c r="C394" s="142" t="n">
        <x:v>0.00853846153846154</x:v>
      </x:c>
      <x:c r="D394" s="160" t="n">
        <x:v>94</x:v>
      </x:c>
      <x:c r="E394" s="162" t="n">
        <x:v>22582.333024382508</x:v>
      </x:c>
      <x:c r="F394" s="162" t="n">
        <x:v>22582</x:v>
      </x:c>
      <x:c r="G394" s="144" t="n">
        <x:v>0.020386502099106647</x:v>
      </x:c>
      <x:c r="H394" s="144" t="n">
        <x:v>0.10804144293500395</x:v>
      </x:c>
      <x:c r="I394" s="137" t="str">
        <x:v>POSITIVE-MODEL-MARGIN</x:v>
      </x:c>
      <x:c r="J394" s="137" t="str">
        <x:v>V0.7-CONTROLLED-RESEARCH-SCREEN-NOT-DISTRIBUTION</x:v>
      </x:c>
    </x:row>
    <x:row r="395" ht="22" customHeight="1">
      <x:c r="A395" s="136" t="str">
        <x:v>SCR-0390</x:v>
      </x:c>
      <x:c r="B395" s="143" t="n">
        <x:v>5e-7</x:v>
      </x:c>
      <x:c r="C395" s="143" t="n">
        <x:v>0.008846153846153847</x:v>
      </x:c>
      <x:c r="D395" s="161" t="n">
        <x:v>94</x:v>
      </x:c>
      <x:c r="E395" s="163" t="n">
        <x:v>21035.058244066768</x:v>
      </x:c>
      <x:c r="F395" s="163" t="n">
        <x:v>21035</x:v>
      </x:c>
      <x:c r="G395" s="145" t="n">
        <x:v>0.020686777250365457</x:v>
      </x:c>
      <x:c r="H395" s="145" t="n">
        <x:v>0.10943012762930471</x:v>
      </x:c>
      <x:c r="I395" s="136" t="str">
        <x:v>POSITIVE-MODEL-MARGIN</x:v>
      </x:c>
      <x:c r="J395" s="136" t="str">
        <x:v>V0.7-CONTROLLED-RESEARCH-SCREEN-NOT-DISTRIBUTION</x:v>
      </x:c>
    </x:row>
    <x:row r="396" ht="22" customHeight="1">
      <x:c r="A396" s="137" t="str">
        <x:v>SCR-0391</x:v>
      </x:c>
      <x:c r="B396" s="142" t="n">
        <x:v>5e-7</x:v>
      </x:c>
      <x:c r="C396" s="142" t="n">
        <x:v>0.009153846153846155</x:v>
      </x:c>
      <x:c r="D396" s="160" t="n">
        <x:v>93</x:v>
      </x:c>
      <x:c r="E396" s="162" t="n">
        <x:v>19502.537885782327</x:v>
      </x:c>
      <x:c r="F396" s="162" t="n">
        <x:v>19502</x:v>
      </x:c>
      <x:c r="G396" s="144" t="n">
        <x:v>0.020927223698832684</x:v>
      </x:c>
      <x:c r="H396" s="144" t="n">
        <x:v>0.11079320841014087</x:v>
      </x:c>
      <x:c r="I396" s="137" t="str">
        <x:v>POSITIVE-MODEL-MARGIN</x:v>
      </x:c>
      <x:c r="J396" s="137" t="str">
        <x:v>V0.7-CONTROLLED-RESEARCH-SCREEN-NOT-DISTRIBUTION</x:v>
      </x:c>
    </x:row>
    <x:row r="397" ht="22" customHeight="1">
      <x:c r="A397" s="136" t="str">
        <x:v>SCR-0392</x:v>
      </x:c>
      <x:c r="B397" s="143" t="n">
        <x:v>5e-7</x:v>
      </x:c>
      <x:c r="C397" s="143" t="n">
        <x:v>0.009461538461538462</x:v>
      </x:c>
      <x:c r="D397" s="161" t="n">
        <x:v>92</x:v>
      </x:c>
      <x:c r="E397" s="163" t="n">
        <x:v>17980.03599713957</x:v>
      </x:c>
      <x:c r="F397" s="163" t="n">
        <x:v>17980</x:v>
      </x:c>
      <x:c r="G397" s="145" t="n">
        <x:v>0.021167968085120222</x:v>
      </x:c>
      <x:c r="H397" s="145" t="n">
        <x:v>0.1121690997533871</x:v>
      </x:c>
      <x:c r="I397" s="136" t="str">
        <x:v>POSITIVE-MODEL-MARGIN</x:v>
      </x:c>
      <x:c r="J397" s="136" t="str">
        <x:v>V0.7-CONTROLLED-RESEARCH-SCREEN-NOT-DISTRIBUTION</x:v>
      </x:c>
    </x:row>
    <x:row r="398" ht="22" customHeight="1">
      <x:c r="A398" s="137" t="str">
        <x:v>SCR-0393</x:v>
      </x:c>
      <x:c r="B398" s="142" t="n">
        <x:v>5e-7</x:v>
      </x:c>
      <x:c r="C398" s="142" t="n">
        <x:v>0.00976923076923077</x:v>
      </x:c>
      <x:c r="D398" s="160" t="n">
        <x:v>91</x:v>
      </x:c>
      <x:c r="E398" s="162" t="n">
        <x:v>16473.97260092218</x:v>
      </x:c>
      <x:c r="F398" s="162" t="n">
        <x:v>16473</x:v>
      </x:c>
      <x:c r="G398" s="144" t="n">
        <x:v>0.021408913013262042</x:v>
      </x:c>
      <x:c r="H398" s="144" t="n">
        <x:v>0.11355723508572643</x:v>
      </x:c>
      <x:c r="I398" s="137" t="str">
        <x:v>POSITIVE-MODEL-MARGIN</x:v>
      </x:c>
      <x:c r="J398" s="137" t="str">
        <x:v>V0.7-CONTROLLED-RESEARCH-SCREEN-NOT-DISTRIBUTION</x:v>
      </x:c>
    </x:row>
    <x:row r="399" ht="22" customHeight="1">
      <x:c r="A399" s="136" t="str">
        <x:v>SCR-0394</x:v>
      </x:c>
      <x:c r="B399" s="143" t="n">
        <x:v>5e-7</x:v>
      </x:c>
      <x:c r="C399" s="143" t="n">
        <x:v>0.010076923076923077</x:v>
      </x:c>
      <x:c r="D399" s="161" t="n">
        <x:v>91</x:v>
      </x:c>
      <x:c r="E399" s="163" t="n">
        <x:v>14978.27136789721</x:v>
      </x:c>
      <x:c r="F399" s="163" t="n">
        <x:v>14978</x:v>
      </x:c>
      <x:c r="G399" s="145" t="n">
        <x:v>0.02170930031884261</x:v>
      </x:c>
      <x:c r="H399" s="145" t="n">
        <x:v>0.11494969612811735</x:v>
      </x:c>
      <x:c r="I399" s="136" t="str">
        <x:v>POSITIVE-MODEL-MARGIN</x:v>
      </x:c>
      <x:c r="J399" s="136" t="str">
        <x:v>V0.7-CONTROLLED-RESEARCH-SCREEN-NOT-DISTRIBUTION</x:v>
      </x:c>
    </x:row>
    <x:row r="400" ht="22" customHeight="1">
      <x:c r="A400" s="137" t="str">
        <x:v>SCR-0395</x:v>
      </x:c>
      <x:c r="B400" s="142" t="n">
        <x:v>5e-7</x:v>
      </x:c>
      <x:c r="C400" s="142" t="n">
        <x:v>0.010384615384615384</x:v>
      </x:c>
      <x:c r="D400" s="160" t="n">
        <x:v>90</x:v>
      </x:c>
      <x:c r="E400" s="162" t="n">
        <x:v>13501.6132608058</x:v>
      </x:c>
      <x:c r="F400" s="162" t="n">
        <x:v>13501</x:v>
      </x:c>
      <x:c r="G400" s="144" t="n">
        <x:v>0.021950559010240372</x:v>
      </x:c>
      <x:c r="H400" s="144" t="n">
        <x:v>0.11635339161227407</x:v>
      </x:c>
      <x:c r="I400" s="137" t="str">
        <x:v>POSITIVE-MODEL-MARGIN</x:v>
      </x:c>
      <x:c r="J400" s="137" t="str">
        <x:v>V0.7-CONTROLLED-RESEARCH-SCREEN-NOT-DISTRIBUTION</x:v>
      </x:c>
    </x:row>
    <x:row r="401" ht="22" customHeight="1">
      <x:c r="A401" s="136" t="str">
        <x:v>SCR-0396</x:v>
      </x:c>
      <x:c r="B401" s="143" t="n">
        <x:v>5e-7</x:v>
      </x:c>
      <x:c r="C401" s="143" t="n">
        <x:v>0.010692307692307692</x:v>
      </x:c>
      <x:c r="D401" s="161" t="n">
        <x:v>89</x:v>
      </x:c>
      <x:c r="E401" s="163" t="n">
        <x:v>12032.814958555773</x:v>
      </x:c>
      <x:c r="F401" s="163" t="n">
        <x:v>12032</x:v>
      </x:c>
      <x:c r="G401" s="145" t="n">
        <x:v>0.022192169965123826</x:v>
      </x:c>
      <x:c r="H401" s="145" t="n">
        <x:v>0.11777220716336018</x:v>
      </x:c>
      <x:c r="I401" s="136" t="str">
        <x:v>POSITIVE-MODEL-MARGIN</x:v>
      </x:c>
      <x:c r="J401" s="136" t="str">
        <x:v>V0.7-CONTROLLED-RESEARCH-SCREEN-NOT-DISTRIBUTION</x:v>
      </x:c>
    </x:row>
    <x:row r="402" ht="22" customHeight="1">
      <x:c r="A402" s="137" t="str">
        <x:v>SCR-0397</x:v>
      </x:c>
      <x:c r="B402" s="142" t="n">
        <x:v>5e-7</x:v>
      </x:c>
      <x:c r="C402" s="142" t="n">
        <x:v>0.011</x:v>
      </x:c>
      <x:c r="D402" s="160" t="n">
        <x:v>88</x:v>
      </x:c>
      <x:c r="E402" s="162" t="n">
        <x:v>10578.23724777297</x:v>
      </x:c>
      <x:c r="F402" s="162" t="n">
        <x:v>10578</x:v>
      </x:c>
      <x:c r="G402" s="144" t="n">
        <x:v>0.022434035508718947</x:v>
      </x:c>
      <x:c r="H402" s="144" t="n">
        <x:v>0.11920562918662392</x:v>
      </x:c>
      <x:c r="I402" s="137" t="str">
        <x:v>POSITIVE-MODEL-MARGIN</x:v>
      </x:c>
      <x:c r="J402" s="137" t="str">
        <x:v>V0.7-CONTROLLED-RESEARCH-SCREEN-NOT-DISTRIBUTION</x:v>
      </x:c>
    </x:row>
    <x:row r="403" ht="22" customHeight="1">
      <x:c r="A403" s="136" t="str">
        <x:v>SCR-0398</x:v>
      </x:c>
      <x:c r="B403" s="143" t="n">
        <x:v>5e-7</x:v>
      </x:c>
      <x:c r="C403" s="143" t="n">
        <x:v>0.011307692307692307</x:v>
      </x:c>
      <x:c r="D403" s="161" t="n">
        <x:v>88</x:v>
      </x:c>
      <x:c r="E403" s="163" t="n">
        <x:v>9140.270960802143</x:v>
      </x:c>
      <x:c r="F403" s="163" t="n">
        <x:v>9140</x:v>
      </x:c>
      <x:c r="G403" s="145" t="n">
        <x:v>0.022734533826983032</x:v>
      </x:c>
      <x:c r="H403" s="145" t="n">
        <x:v>0.12060286854435619</x:v>
      </x:c>
      <x:c r="I403" s="136" t="str">
        <x:v>POSITIVE-MODEL-MARGIN</x:v>
      </x:c>
      <x:c r="J403" s="136" t="str">
        <x:v>V0.7-CONTROLLED-RESEARCH-SCREEN-NOT-DISTRIBUTION</x:v>
      </x:c>
    </x:row>
    <x:row r="404" ht="22" customHeight="1">
      <x:c r="A404" s="137" t="str">
        <x:v>SCR-0399</x:v>
      </x:c>
      <x:c r="B404" s="142" t="n">
        <x:v>5e-7</x:v>
      </x:c>
      <x:c r="C404" s="142" t="n">
        <x:v>0.011615384615384614</x:v>
      </x:c>
      <x:c r="D404" s="160" t="n">
        <x:v>87</x:v>
      </x:c>
      <x:c r="E404" s="162" t="n">
        <x:v>7712.708303518073</x:v>
      </x:c>
      <x:c r="F404" s="162" t="n">
        <x:v>7712</x:v>
      </x:c>
      <x:c r="G404" s="144" t="n">
        <x:v>0.022976766214142807</x:v>
      </x:c>
      <x:c r="H404" s="144" t="n">
        <x:v>0.1220546875087967</x:v>
      </x:c>
      <x:c r="I404" s="137" t="str">
        <x:v>POSITIVE-MODEL-MARGIN</x:v>
      </x:c>
      <x:c r="J404" s="137" t="str">
        <x:v>V0.7-CONTROLLED-RESEARCH-SCREEN-NOT-DISTRIBUTION</x:v>
      </x:c>
    </x:row>
    <x:row r="405" ht="22" customHeight="1">
      <x:c r="A405" s="136" t="str">
        <x:v>SCR-0400</x:v>
      </x:c>
      <x:c r="B405" s="143" t="n">
        <x:v>5e-7</x:v>
      </x:c>
      <x:c r="C405" s="143" t="n">
        <x:v>0.011923076923076925</x:v>
      </x:c>
      <x:c r="D405" s="161" t="n">
        <x:v>86</x:v>
      </x:c>
      <x:c r="E405" s="163" t="n">
        <x:v>6299.539708699511</x:v>
      </x:c>
      <x:c r="F405" s="163" t="n">
        <x:v>6299</x:v>
      </x:c>
      <x:c r="G405" s="145" t="n">
        <x:v>0.023219230739095303</x:v>
      </x:c>
      <x:c r="H405" s="145" t="n">
        <x:v>0.12352222137907175</x:v>
      </x:c>
      <x:c r="I405" s="136" t="str">
        <x:v>POSITIVE-MODEL-MARGIN</x:v>
      </x:c>
      <x:c r="J405" s="136" t="str">
        <x:v>V0.7-CONTROLLED-RESEARCH-SCREEN-NOT-DISTRIBUTION</x:v>
      </x:c>
    </x:row>
    <x:row r="406" ht="22" customHeight="1">
      <x:c r="A406" s="137" t="str">
        <x:v>SCR-0401</x:v>
      </x:c>
      <x:c r="B406" s="142" t="n">
        <x:v>5e-7</x:v>
      </x:c>
      <x:c r="C406" s="142" t="n">
        <x:v>0.012230769230769233</x:v>
      </x:c>
      <x:c r="D406" s="160" t="n">
        <x:v>85</x:v>
      </x:c>
      <x:c r="E406" s="162" t="n">
        <x:v>4902.237765594855</x:v>
      </x:c>
      <x:c r="F406" s="162" t="n">
        <x:v>4902</x:v>
      </x:c>
      <x:c r="G406" s="144" t="n">
        <x:v>0.023462002647603696</x:v>
      </x:c>
      <x:c r="H406" s="144" t="n">
        <x:v>0.12500705025887032</x:v>
      </x:c>
      <x:c r="I406" s="137" t="str">
        <x:v>POSITIVE-MODEL-MARGIN</x:v>
      </x:c>
      <x:c r="J406" s="137" t="str">
        <x:v>V0.7-CONTROLLED-RESEARCH-SCREEN-NOT-DISTRIBUTION</x:v>
      </x:c>
    </x:row>
    <x:row r="407" ht="22" customHeight="1">
      <x:c r="A407" s="136" t="str">
        <x:v>SCR-0402</x:v>
      </x:c>
      <x:c r="B407" s="143" t="n">
        <x:v>5e-7</x:v>
      </x:c>
      <x:c r="C407" s="143" t="n">
        <x:v>0.01253846153846154</x:v>
      </x:c>
      <x:c r="D407" s="161" t="n">
        <x:v>84</x:v>
      </x:c>
      <x:c r="E407" s="163" t="n">
        <x:v>3517.195948027631</x:v>
      </x:c>
      <x:c r="F407" s="163" t="n">
        <x:v>3517</x:v>
      </x:c>
      <x:c r="G407" s="145" t="n">
        <x:v>0.023705070463839427</x:v>
      </x:c>
      <x:c r="H407" s="145" t="n">
        <x:v>0.126509771127739</x:v>
      </x:c>
      <x:c r="I407" s="136" t="str">
        <x:v>POSITIVE-MODEL-MARGIN</x:v>
      </x:c>
      <x:c r="J407" s="136" t="str">
        <x:v>V0.7-CONTROLLED-RESEARCH-SCREEN-NOT-DISTRIBUTION</x:v>
      </x:c>
    </x:row>
    <x:row r="408" ht="22" customHeight="1">
      <x:c r="A408" s="137" t="str">
        <x:v>SCR-0403</x:v>
      </x:c>
      <x:c r="B408" s="142" t="n">
        <x:v>5e-7</x:v>
      </x:c>
      <x:c r="C408" s="142" t="n">
        <x:v>0.012846153846153847</x:v>
      </x:c>
      <x:c r="D408" s="160" t="n">
        <x:v>82</x:v>
      </x:c>
      <x:c r="E408" s="162" t="n">
        <x:v>2145.4284801638896</x:v>
      </x:c>
      <x:c r="F408" s="162" t="n">
        <x:v>2145</x:v>
      </x:c>
      <x:c r="G408" s="144" t="n">
        <x:v>0.023891504221581445</x:v>
      </x:c>
      <x:c r="H408" s="144" t="n">
        <x:v>0.12815491020722417</x:v>
      </x:c>
      <x:c r="I408" s="137" t="str">
        <x:v>POSITIVE-MODEL-MARGIN</x:v>
      </x:c>
      <x:c r="J408" s="137" t="str">
        <x:v>V0.7-CONTROLLED-RESEARCH-SCREEN-NOT-DISTRIBUTION</x:v>
      </x:c>
    </x:row>
    <x:row r="409" ht="22" customHeight="1">
      <x:c r="A409" s="136" t="str">
        <x:v>SCR-0404</x:v>
      </x:c>
      <x:c r="B409" s="143" t="n">
        <x:v>5e-7</x:v>
      </x:c>
      <x:c r="C409" s="143" t="n">
        <x:v>0.013153846153846155</x:v>
      </x:c>
      <x:c r="D409" s="161" t="n">
        <x:v>82</x:v>
      </x:c>
      <x:c r="E409" s="163" t="n">
        <x:v>789.940311268616</x:v>
      </x:c>
      <x:c r="F409" s="163" t="n">
        <x:v>789</x:v>
      </x:c>
      <x:c r="G409" s="145" t="n">
        <x:v>0.02419222077546932</x:v>
      </x:c>
      <x:c r="H409" s="145" t="n">
        <x:v>0.1295675869656245</x:v>
      </x:c>
      <x:c r="I409" s="136" t="str">
        <x:v>POSITIVE-MODEL-MARGIN</x:v>
      </x:c>
      <x:c r="J409" s="136" t="str">
        <x:v>V0.7-CONTROLLED-RESEARCH-SCREEN-NOT-DISTRIBUTION</x:v>
      </x:c>
    </x:row>
    <x:row r="410" ht="22" customHeight="1">
      <x:c r="A410" s="137" t="str">
        <x:v>SCR-0405</x:v>
      </x:c>
      <x:c r="B410" s="142" t="n">
        <x:v>5e-7</x:v>
      </x:c>
      <x:c r="C410" s="142" t="n">
        <x:v>0.013461538461538462</x:v>
      </x:c>
      <x:c r="D410" s="160" t="n">
        <x:v>81</x:v>
      </x:c>
      <x:c r="E410" s="162" t="n">
        <x:v>-550.8088470238253</x:v>
      </x:c>
      <x:c r="F410" s="162" t="n">
        <x:v>0</x:v>
      </x:c>
      <x:c r="G410" s="144" t="n">
        <x:v>0.024436279853523608</x:v>
      </x:c>
      <x:c r="H410" s="144" t="n">
        <x:v>0.13112129862003655</x:v>
      </x:c>
      <x:c r="I410" s="137" t="str">
        <x:v>NONPOSITIVE-MODEL-MARGIN</x:v>
      </x:c>
      <x:c r="J410" s="137" t="str">
        <x:v>V0.7-CONTROLLED-RESEARCH-SCREEN-NOT-DISTRIBUTION</x:v>
      </x:c>
    </x:row>
    <x:row r="411" ht="22" customHeight="1">
      <x:c r="A411" s="136" t="str">
        <x:v>SCR-0406</x:v>
      </x:c>
      <x:c r="B411" s="143" t="n">
        <x:v>5e-7</x:v>
      </x:c>
      <x:c r="C411" s="143" t="n">
        <x:v>0.01376923076923077</x:v>
      </x:c>
      <x:c r="D411" s="161" t="n">
        <x:v>80</x:v>
      </x:c>
      <x:c r="E411" s="163" t="n">
        <x:v>-1877.2928993317582</x:v>
      </x:c>
      <x:c r="F411" s="163" t="n">
        <x:v>0</x:v>
      </x:c>
      <x:c r="G411" s="145" t="n">
        <x:v>0.0246806746940249</x:v>
      </x:c>
      <x:c r="H411" s="145" t="n">
        <x:v>0.13269647934546383</x:v>
      </x:c>
      <x:c r="I411" s="136" t="str">
        <x:v>NONPOSITIVE-MODEL-MARGIN</x:v>
      </x:c>
      <x:c r="J411" s="136" t="str">
        <x:v>V0.7-CONTROLLED-RESEARCH-SCREEN-NOT-DISTRIBUTION</x:v>
      </x:c>
    </x:row>
    <x:row r="412" ht="22" customHeight="1">
      <x:c r="A412" s="137" t="str">
        <x:v>SCR-0407</x:v>
      </x:c>
      <x:c r="B412" s="142" t="n">
        <x:v>5e-7</x:v>
      </x:c>
      <x:c r="C412" s="142" t="n">
        <x:v>0.014076923076923077</x:v>
      </x:c>
      <x:c r="D412" s="160" t="n">
        <x:v>1</x:v>
      </x:c>
      <x:c r="E412" s="162" t="n">
        <x:v>-2414.8560877701716</x:v>
      </x:c>
      <x:c r="F412" s="162" t="n">
        <x:v>0</x:v>
      </x:c>
      <x:c r="G412" s="144" t="n">
        <x:v>0.02220194559632191</x:v>
      </x:c>
      <x:c r="H412" s="144" t="n">
        <x:v>0.5</x:v>
      </x:c>
      <x:c r="I412" s="137" t="str">
        <x:v>NONPOSITIVE-MODEL-MARGIN</x:v>
      </x:c>
      <x:c r="J412" s="137" t="str">
        <x:v>V0.7-CONTROLLED-RESEARCH-SCREEN-NOT-DISTRIBUTION</x:v>
      </x:c>
    </x:row>
    <x:row r="413" ht="22" customHeight="1">
      <x:c r="A413" s="136" t="str">
        <x:v>SCR-0408</x:v>
      </x:c>
      <x:c r="B413" s="143" t="n">
        <x:v>5e-7</x:v>
      </x:c>
      <x:c r="C413" s="143" t="n">
        <x:v>0.014384615384615385</x:v>
      </x:c>
      <x:c r="D413" s="161" t="n">
        <x:v>1</x:v>
      </x:c>
      <x:c r="E413" s="163" t="n">
        <x:v>-2433.732333392375</x:v>
      </x:c>
      <x:c r="F413" s="163" t="n">
        <x:v>0</x:v>
      </x:c>
      <x:c r="G413" s="145" t="n">
        <x:v>0.02250449367011938</x:v>
      </x:c>
      <x:c r="H413" s="145" t="n">
        <x:v>0.5</x:v>
      </x:c>
      <x:c r="I413" s="136" t="str">
        <x:v>NONPOSITIVE-MODEL-MARGIN</x:v>
      </x:c>
      <x:c r="J413" s="136" t="str">
        <x:v>V0.7-CONTROLLED-RESEARCH-SCREEN-NOT-DISTRIBUTION</x:v>
      </x:c>
    </x:row>
    <x:row r="414" ht="22" customHeight="1">
      <x:c r="A414" s="137" t="str">
        <x:v>SCR-0409</x:v>
      </x:c>
      <x:c r="B414" s="142" t="n">
        <x:v>5e-7</x:v>
      </x:c>
      <x:c r="C414" s="142" t="n">
        <x:v>0.014692307692307692</x:v>
      </x:c>
      <x:c r="D414" s="160" t="n">
        <x:v>1</x:v>
      </x:c>
      <x:c r="E414" s="162" t="n">
        <x:v>-2452.54812774499</x:v>
      </x:c>
      <x:c r="F414" s="162" t="n">
        <x:v>0</x:v>
      </x:c>
      <x:c r="G414" s="144" t="n">
        <x:v>0.02280704174391685</x:v>
      </x:c>
      <x:c r="H414" s="144" t="n">
        <x:v>0.5</x:v>
      </x:c>
      <x:c r="I414" s="137" t="str">
        <x:v>NONPOSITIVE-MODEL-MARGIN</x:v>
      </x:c>
      <x:c r="J414" s="137" t="str">
        <x:v>V0.7-CONTROLLED-RESEARCH-SCREEN-NOT-DISTRIBUTION</x:v>
      </x:c>
    </x:row>
    <x:row r="415" ht="22" customHeight="1">
      <x:c r="A415" s="136" t="str">
        <x:v>SCR-0410</x:v>
      </x:c>
      <x:c r="B415" s="143" t="n">
        <x:v>5e-7</x:v>
      </x:c>
      <x:c r="C415" s="143" t="n">
        <x:v>0.015</x:v>
      </x:c>
      <x:c r="D415" s="161" t="n">
        <x:v>1</x:v>
      </x:c>
      <x:c r="E415" s="163" t="n">
        <x:v>-2471.3040485315405</x:v>
      </x:c>
      <x:c r="F415" s="163" t="n">
        <x:v>0</x:v>
      </x:c>
      <x:c r="G415" s="145" t="n">
        <x:v>0.023109589817714323</x:v>
      </x:c>
      <x:c r="H415" s="145" t="n">
        <x:v>0.5</x:v>
      </x:c>
      <x:c r="I415" s="136" t="str">
        <x:v>NONPOSITIVE-MODEL-MARGIN</x:v>
      </x:c>
      <x:c r="J415" s="136" t="str">
        <x:v>V0.7-CONTROLLED-RESEARCH-SCREEN-NOT-DISTRIBUTION</x:v>
      </x:c>
    </x:row>
    <x:row r="416" ht="22" customHeight="1">
      <x:c r="A416" s="137" t="str">
        <x:v>SCR-0411</x:v>
      </x:c>
      <x:c r="B416" s="142" t="n">
        <x:v>5.384615384615384e-7</x:v>
      </x:c>
      <x:c r="C416" s="142" t="n">
        <x:v>0.003</x:v>
      </x:c>
      <x:c r="D416" s="160" t="n">
        <x:v>101</x:v>
      </x:c>
      <x:c r="E416" s="162" t="n">
        <x:v>47378.180201447154</x:v>
      </x:c>
      <x:c r="F416" s="162" t="n">
        <x:v>47378</x:v>
      </x:c>
      <x:c r="G416" s="144" t="n">
        <x:v>0.01630364616246685</x:v>
      </x:c>
      <x:c r="H416" s="144" t="n">
        <x:v>0.08826842555611122</x:v>
      </x:c>
      <x:c r="I416" s="137" t="str">
        <x:v>POSITIVE-MODEL-MARGIN</x:v>
      </x:c>
      <x:c r="J416" s="137" t="str">
        <x:v>V0.7-CONTROLLED-RESEARCH-SCREEN-NOT-DISTRIBUTION</x:v>
      </x:c>
    </x:row>
    <x:row r="417" ht="22" customHeight="1">
      <x:c r="A417" s="136" t="str">
        <x:v>SCR-0412</x:v>
      </x:c>
      <x:c r="B417" s="143" t="n">
        <x:v>5.384615384615384e-7</x:v>
      </x:c>
      <x:c r="C417" s="143" t="n">
        <x:v>0.003307692307692308</x:v>
      </x:c>
      <x:c r="D417" s="161" t="n">
        <x:v>100</x:v>
      </x:c>
      <x:c r="E417" s="163" t="n">
        <x:v>45636.06895923128</x:v>
      </x:c>
      <x:c r="F417" s="163" t="n">
        <x:v>45636</x:v>
      </x:c>
      <x:c r="G417" s="145" t="n">
        <x:v>0.016536808755478267</x:v>
      </x:c>
      <x:c r="H417" s="145" t="n">
        <x:v>0.08953318382286757</x:v>
      </x:c>
      <x:c r="I417" s="136" t="str">
        <x:v>POSITIVE-MODEL-MARGIN</x:v>
      </x:c>
      <x:c r="J417" s="136" t="str">
        <x:v>V0.7-CONTROLLED-RESEARCH-SCREEN-NOT-DISTRIBUTION</x:v>
      </x:c>
    </x:row>
    <x:row r="418" ht="22" customHeight="1">
      <x:c r="A418" s="137" t="str">
        <x:v>SCR-0413</x:v>
      </x:c>
      <x:c r="B418" s="142" t="n">
        <x:v>5.384615384615384e-7</x:v>
      </x:c>
      <x:c r="C418" s="142" t="n">
        <x:v>0.0036153846153846154</x:v>
      </x:c>
      <x:c r="D418" s="160" t="n">
        <x:v>100</x:v>
      </x:c>
      <x:c r="E418" s="162" t="n">
        <x:v>43910.363728970515</x:v>
      </x:c>
      <x:c r="F418" s="162" t="n">
        <x:v>43910</x:v>
      </x:c>
      <x:c r="G418" s="144" t="n">
        <x:v>0.016836306488088395</x:v>
      </x:c>
      <x:c r="H418" s="144" t="n">
        <x:v>0.09093541065300655</x:v>
      </x:c>
      <x:c r="I418" s="137" t="str">
        <x:v>POSITIVE-MODEL-MARGIN</x:v>
      </x:c>
      <x:c r="J418" s="137" t="str">
        <x:v>V0.7-CONTROLLED-RESEARCH-SCREEN-NOT-DISTRIBUTION</x:v>
      </x:c>
    </x:row>
    <x:row r="419" ht="22" customHeight="1">
      <x:c r="A419" s="136" t="str">
        <x:v>SCR-0414</x:v>
      </x:c>
      <x:c r="B419" s="143" t="n">
        <x:v>5.384615384615384e-7</x:v>
      </x:c>
      <x:c r="C419" s="143" t="n">
        <x:v>0.003923076923076923</x:v>
      </x:c>
      <x:c r="D419" s="161" t="n">
        <x:v>99</x:v>
      </x:c>
      <x:c r="E419" s="163" t="n">
        <x:v>42200.912561712365</x:v>
      </x:c>
      <x:c r="F419" s="163" t="n">
        <x:v>42200</x:v>
      </x:c>
      <x:c r="G419" s="145" t="n">
        <x:v>0.017069718367135302</x:v>
      </x:c>
      <x:c r="H419" s="145" t="n">
        <x:v>0.09220939061283218</x:v>
      </x:c>
      <x:c r="I419" s="136" t="str">
        <x:v>POSITIVE-MODEL-MARGIN</x:v>
      </x:c>
      <x:c r="J419" s="136" t="str">
        <x:v>V0.7-CONTROLLED-RESEARCH-SCREEN-NOT-DISTRIBUTION</x:v>
      </x:c>
    </x:row>
    <x:row r="420" ht="22" customHeight="1">
      <x:c r="A420" s="137" t="str">
        <x:v>SCR-0415</x:v>
      </x:c>
      <x:c r="B420" s="142" t="n">
        <x:v>5.384615384615384e-7</x:v>
      </x:c>
      <x:c r="C420" s="142" t="n">
        <x:v>0.004230769230769231</x:v>
      </x:c>
      <x:c r="D420" s="160" t="n">
        <x:v>99</x:v>
      </x:c>
      <x:c r="E420" s="162" t="n">
        <x:v>40503.79036655672</x:v>
      </x:c>
      <x:c r="F420" s="162" t="n">
        <x:v>40503</x:v>
      </x:c>
      <x:c r="G420" s="144" t="n">
        <x:v>0.017369257089620012</x:v>
      </x:c>
      <x:c r="H420" s="144" t="n">
        <x:v>0.09361062738831175</x:v>
      </x:c>
      <x:c r="I420" s="137" t="str">
        <x:v>POSITIVE-MODEL-MARGIN</x:v>
      </x:c>
      <x:c r="J420" s="137" t="str">
        <x:v>V0.7-CONTROLLED-RESEARCH-SCREEN-NOT-DISTRIBUTION</x:v>
      </x:c>
    </x:row>
    <x:row r="421" ht="22" customHeight="1">
      <x:c r="A421" s="136" t="str">
        <x:v>SCR-0416</x:v>
      </x:c>
      <x:c r="B421" s="143" t="n">
        <x:v>5.384615384615384e-7</x:v>
      </x:c>
      <x:c r="C421" s="143" t="n">
        <x:v>0.004538461538461538</x:v>
      </x:c>
      <x:c r="D421" s="161" t="n">
        <x:v>98</x:v>
      </x:c>
      <x:c r="E421" s="163" t="n">
        <x:v>38819.8012554784</x:v>
      </x:c>
      <x:c r="F421" s="163" t="n">
        <x:v>38819</x:v>
      </x:c>
      <x:c r="G421" s="145" t="n">
        <x:v>0.017603001926042635</x:v>
      </x:c>
      <x:c r="H421" s="145" t="n">
        <x:v>0.09489515779556823</x:v>
      </x:c>
      <x:c r="I421" s="136" t="str">
        <x:v>POSITIVE-MODEL-MARGIN</x:v>
      </x:c>
      <x:c r="J421" s="136" t="str">
        <x:v>V0.7-CONTROLLED-RESEARCH-SCREEN-NOT-DISTRIBUTION</x:v>
      </x:c>
    </x:row>
    <x:row r="422" ht="22" customHeight="1">
      <x:c r="A422" s="137" t="str">
        <x:v>SCR-0417</x:v>
      </x:c>
      <x:c r="B422" s="142" t="n">
        <x:v>5.384615384615384e-7</x:v>
      </x:c>
      <x:c r="C422" s="142" t="n">
        <x:v>0.004846153846153846</x:v>
      </x:c>
      <x:c r="D422" s="160" t="n">
        <x:v>98</x:v>
      </x:c>
      <x:c r="E422" s="162" t="n">
        <x:v>37146.55705301258</x:v>
      </x:c>
      <x:c r="F422" s="162" t="n">
        <x:v>37146</x:v>
      </x:c>
      <x:c r="G422" s="144" t="n">
        <x:v>0.017902581507994862</x:v>
      </x:c>
      <x:c r="H422" s="144" t="n">
        <x:v>0.0962955985822497</x:v>
      </x:c>
      <x:c r="I422" s="137" t="str">
        <x:v>POSITIVE-MODEL-MARGIN</x:v>
      </x:c>
      <x:c r="J422" s="137" t="str">
        <x:v>V0.7-CONTROLLED-RESEARCH-SCREEN-NOT-DISTRIBUTION</x:v>
      </x:c>
    </x:row>
    <x:row r="423" ht="22" customHeight="1">
      <x:c r="A423" s="136" t="str">
        <x:v>SCR-0418</x:v>
      </x:c>
      <x:c r="B423" s="143" t="n">
        <x:v>5.384615384615384e-7</x:v>
      </x:c>
      <x:c r="C423" s="143" t="n">
        <x:v>0.005</x:v>
      </x:c>
      <x:c r="D423" s="161" t="n">
        <x:v>98</x:v>
      </x:c>
      <x:c r="E423" s="163" t="n">
        <x:v>36317.890970095985</x:v>
      </x:c>
      <x:c r="F423" s="163" t="n">
        <x:v>36317</x:v>
      </x:c>
      <x:c r="G423" s="145" t="n">
        <x:v>0.018052371298970974</x:v>
      </x:c>
      <x:c r="H423" s="145" t="n">
        <x:v>0.09699511778426599</x:v>
      </x:c>
      <x:c r="I423" s="136" t="str">
        <x:v>POSITIVE-MODEL-MARGIN</x:v>
      </x:c>
      <x:c r="J423" s="136" t="str">
        <x:v>V0.7-CONTROLLED-RESEARCH-SCREEN-NOT-DISTRIBUTION</x:v>
      </x:c>
    </x:row>
    <x:row r="424" ht="22" customHeight="1">
      <x:c r="A424" s="137" t="str">
        <x:v>SCR-0419</x:v>
      </x:c>
      <x:c r="B424" s="142" t="n">
        <x:v>5.384615384615384e-7</x:v>
      </x:c>
      <x:c r="C424" s="142" t="n">
        <x:v>0.005153846153846154</x:v>
      </x:c>
      <x:c r="D424" s="160" t="n">
        <x:v>97</x:v>
      </x:c>
      <x:c r="E424" s="162" t="n">
        <x:v>35491.76175305411</x:v>
      </x:c>
      <x:c r="F424" s="162" t="n">
        <x:v>35491</x:v>
      </x:c>
      <x:c r="G424" s="144" t="n">
        <x:v>0.018136648393601722</x:v>
      </x:c>
      <x:c r="H424" s="144" t="n">
        <x:v>0.09759115663355558</x:v>
      </x:c>
      <x:c r="I424" s="137" t="str">
        <x:v>POSITIVE-MODEL-MARGIN</x:v>
      </x:c>
      <x:c r="J424" s="137" t="str">
        <x:v>V0.7-CONTROLLED-RESEARCH-SCREEN-NOT-DISTRIBUTION</x:v>
      </x:c>
    </x:row>
    <x:row r="425" ht="22" customHeight="1">
      <x:c r="A425" s="136" t="str">
        <x:v>SCR-0420</x:v>
      </x:c>
      <x:c r="B425" s="143" t="n">
        <x:v>5.384615384615384e-7</x:v>
      </x:c>
      <x:c r="C425" s="143" t="n">
        <x:v>0.005461538461538462</x:v>
      </x:c>
      <x:c r="D425" s="161" t="n">
        <x:v>96</x:v>
      </x:c>
      <x:c r="E425" s="163" t="n">
        <x:v>33849.214243896546</x:v>
      </x:c>
      <x:c r="F425" s="163" t="n">
        <x:v>33849</x:v>
      </x:c>
      <x:c r="G425" s="145" t="n">
        <x:v>0.0183709857244764</x:v>
      </x:c>
      <x:c r="H425" s="145" t="n">
        <x:v>0.09889688806071724</x:v>
      </x:c>
      <x:c r="I425" s="136" t="str">
        <x:v>POSITIVE-MODEL-MARGIN</x:v>
      </x:c>
      <x:c r="J425" s="136" t="str">
        <x:v>V0.7-CONTROLLED-RESEARCH-SCREEN-NOT-DISTRIBUTION</x:v>
      </x:c>
    </x:row>
    <x:row r="426" ht="22" customHeight="1">
      <x:c r="A426" s="137" t="str">
        <x:v>SCR-0421</x:v>
      </x:c>
      <x:c r="B426" s="142" t="n">
        <x:v>5.384615384615384e-7</x:v>
      </x:c>
      <x:c r="C426" s="142" t="n">
        <x:v>0.0057692307692307696</x:v>
      </x:c>
      <x:c r="D426" s="160" t="n">
        <x:v>96</x:v>
      </x:c>
      <x:c r="E426" s="162" t="n">
        <x:v>32219.85594398354</x:v>
      </x:c>
      <x:c r="F426" s="162" t="n">
        <x:v>32219</x:v>
      </x:c>
      <x:c r="G426" s="144" t="n">
        <x:v>0.018670646659727605</x:v>
      </x:c>
      <x:c r="H426" s="144" t="n">
        <x:v>0.10029805929064672</x:v>
      </x:c>
      <x:c r="I426" s="137" t="str">
        <x:v>POSITIVE-MODEL-MARGIN</x:v>
      </x:c>
      <x:c r="J426" s="137" t="str">
        <x:v>V0.7-CONTROLLED-RESEARCH-SCREEN-NOT-DISTRIBUTION</x:v>
      </x:c>
    </x:row>
    <x:row r="427" ht="22" customHeight="1">
      <x:c r="A427" s="136" t="str">
        <x:v>SCR-0422</x:v>
      </x:c>
      <x:c r="B427" s="143" t="n">
        <x:v>5.384615384615384e-7</x:v>
      </x:c>
      <x:c r="C427" s="143" t="n">
        <x:v>0.006076923076923077</x:v>
      </x:c>
      <x:c r="D427" s="161" t="n">
        <x:v>95</x:v>
      </x:c>
      <x:c r="E427" s="163" t="n">
        <x:v>30606.166240713796</x:v>
      </x:c>
      <x:c r="F427" s="163" t="n">
        <x:v>30606</x:v>
      </x:c>
      <x:c r="G427" s="145" t="n">
        <x:v>0.01890528409137901</x:v>
      </x:c>
      <x:c r="H427" s="145" t="n">
        <x:v>0.1016156899561912</x:v>
      </x:c>
      <x:c r="I427" s="136" t="str">
        <x:v>POSITIVE-MODEL-MARGIN</x:v>
      </x:c>
      <x:c r="J427" s="136" t="str">
        <x:v>V0.7-CONTROLLED-RESEARCH-SCREEN-NOT-DISTRIBUTION</x:v>
      </x:c>
    </x:row>
    <x:row r="428" ht="22" customHeight="1">
      <x:c r="A428" s="137" t="str">
        <x:v>SCR-0423</x:v>
      </x:c>
      <x:c r="B428" s="142" t="n">
        <x:v>5.384615384615384e-7</x:v>
      </x:c>
      <x:c r="C428" s="142" t="n">
        <x:v>0.006384615384615384</x:v>
      </x:c>
      <x:c r="D428" s="160" t="n">
        <x:v>94</x:v>
      </x:c>
      <x:c r="E428" s="162" t="n">
        <x:v>29004.783707013037</x:v>
      </x:c>
      <x:c r="F428" s="162" t="n">
        <x:v>29004</x:v>
      </x:c>
      <x:c r="G428" s="144" t="n">
        <x:v>0.0191401700441892</x:v>
      </x:c>
      <x:c r="H428" s="144" t="n">
        <x:v>0.10294418809182516</x:v>
      </x:c>
      <x:c r="I428" s="137" t="str">
        <x:v>POSITIVE-MODEL-MARGIN</x:v>
      </x:c>
      <x:c r="J428" s="137" t="str">
        <x:v>V0.7-CONTROLLED-RESEARCH-SCREEN-NOT-DISTRIBUTION</x:v>
      </x:c>
    </x:row>
    <x:row r="429" ht="22" customHeight="1">
      <x:c r="A429" s="136" t="str">
        <x:v>SCR-0424</x:v>
      </x:c>
      <x:c r="B429" s="143" t="n">
        <x:v>5.384615384615384e-7</x:v>
      </x:c>
      <x:c r="C429" s="143" t="n">
        <x:v>0.006692307692307693</x:v>
      </x:c>
      <x:c r="D429" s="161" t="n">
        <x:v>94</x:v>
      </x:c>
      <x:c r="E429" s="163" t="n">
        <x:v>27418.057788949303</x:v>
      </x:c>
      <x:c r="F429" s="163" t="n">
        <x:v>27418</x:v>
      </x:c>
      <x:c r="G429" s="145" t="n">
        <x:v>0.019439911888667546</x:v>
      </x:c>
      <x:c r="H429" s="145" t="n">
        <x:v>0.10434658174750944</x:v>
      </x:c>
      <x:c r="I429" s="136" t="str">
        <x:v>POSITIVE-MODEL-MARGIN</x:v>
      </x:c>
      <x:c r="J429" s="136" t="str">
        <x:v>V0.7-CONTROLLED-RESEARCH-SCREEN-NOT-DISTRIBUTION</x:v>
      </x:c>
    </x:row>
    <x:row r="430" ht="22" customHeight="1">
      <x:c r="A430" s="137" t="str">
        <x:v>SCR-0425</x:v>
      </x:c>
      <x:c r="B430" s="142" t="n">
        <x:v>5.384615384615384e-7</x:v>
      </x:c>
      <x:c r="C430" s="142" t="n">
        <x:v>0.007</x:v>
      </x:c>
      <x:c r="D430" s="160" t="n">
        <x:v>93</x:v>
      </x:c>
      <x:c r="E430" s="162" t="n">
        <x:v>25842.66846832034</x:v>
      </x:c>
      <x:c r="F430" s="162" t="n">
        <x:v>25842</x:v>
      </x:c>
      <x:c r="G430" s="144" t="n">
        <x:v>0.01967516916498322</x:v>
      </x:c>
      <x:c r="H430" s="144" t="n">
        <x:v>0.10568886401670138</x:v>
      </x:c>
      <x:c r="I430" s="137" t="str">
        <x:v>POSITIVE-MODEL-MARGIN</x:v>
      </x:c>
      <x:c r="J430" s="137" t="str">
        <x:v>V0.7-CONTROLLED-RESEARCH-SCREEN-NOT-DISTRIBUTION</x:v>
      </x:c>
    </x:row>
    <x:row r="431" ht="22" customHeight="1">
      <x:c r="A431" s="136" t="str">
        <x:v>SCR-0426</x:v>
      </x:c>
      <x:c r="B431" s="143" t="n">
        <x:v>5.384615384615384e-7</x:v>
      </x:c>
      <x:c r="C431" s="143" t="n">
        <x:v>0.007307692307692308</x:v>
      </x:c>
      <x:c r="D431" s="161" t="n">
        <x:v>93</x:v>
      </x:c>
      <x:c r="E431" s="163" t="n">
        <x:v>24281.49130987263</x:v>
      </x:c>
      <x:c r="F431" s="163" t="n">
        <x:v>24281</x:v>
      </x:c>
      <x:c r="G431" s="145" t="n">
        <x:v>0.019974951255764324</x:v>
      </x:c>
      <x:c r="H431" s="145" t="n">
        <x:v>0.10709122506028594</x:v>
      </x:c>
      <x:c r="I431" s="136" t="str">
        <x:v>POSITIVE-MODEL-MARGIN</x:v>
      </x:c>
      <x:c r="J431" s="136" t="str">
        <x:v>V0.7-CONTROLLED-RESEARCH-SCREEN-NOT-DISTRIBUTION</x:v>
      </x:c>
    </x:row>
    <x:row r="432" ht="22" customHeight="1">
      <x:c r="A432" s="137" t="str">
        <x:v>SCR-0427</x:v>
      </x:c>
      <x:c r="B432" s="142" t="n">
        <x:v>5.384615384615384e-7</x:v>
      </x:c>
      <x:c r="C432" s="142" t="n">
        <x:v>0.007615384615384616</x:v>
      </x:c>
      <x:c r="D432" s="160" t="n">
        <x:v>92</x:v>
      </x:c>
      <x:c r="E432" s="162" t="n">
        <x:v>22731.93201690895</x:v>
      </x:c>
      <x:c r="F432" s="162" t="n">
        <x:v>22731</x:v>
      </x:c>
      <x:c r="G432" s="144" t="n">
        <x:v>0.02021056819904866</x:v>
      </x:c>
      <x:c r="H432" s="144" t="n">
        <x:v>0.1084478754108251</x:v>
      </x:c>
      <x:c r="I432" s="137" t="str">
        <x:v>POSITIVE-MODEL-MARGIN</x:v>
      </x:c>
      <x:c r="J432" s="137" t="str">
        <x:v>V0.7-CONTROLLED-RESEARCH-SCREEN-NOT-DISTRIBUTION</x:v>
      </x:c>
    </x:row>
    <x:row r="433" ht="22" customHeight="1">
      <x:c r="A433" s="136" t="str">
        <x:v>SCR-0428</x:v>
      </x:c>
      <x:c r="B433" s="143" t="n">
        <x:v>5.384615384615384e-7</x:v>
      </x:c>
      <x:c r="C433" s="143" t="n">
        <x:v>0.007923076923076923</x:v>
      </x:c>
      <x:c r="D433" s="161" t="n">
        <x:v>92</x:v>
      </x:c>
      <x:c r="E433" s="163" t="n">
        <x:v>21195.786715666898</x:v>
      </x:c>
      <x:c r="F433" s="163" t="n">
        <x:v>21195</x:v>
      </x:c>
      <x:c r="G433" s="145" t="n">
        <x:v>0.02051039038682565</x:v>
      </x:c>
      <x:c r="H433" s="145" t="n">
        <x:v>0.10985037419824108</x:v>
      </x:c>
      <x:c r="I433" s="136" t="str">
        <x:v>POSITIVE-MODEL-MARGIN</x:v>
      </x:c>
      <x:c r="J433" s="136" t="str">
        <x:v>V0.7-CONTROLLED-RESEARCH-SCREEN-NOT-DISTRIBUTION</x:v>
      </x:c>
    </x:row>
    <x:row r="434" ht="22" customHeight="1">
      <x:c r="A434" s="137" t="str">
        <x:v>SCR-0429</x:v>
      </x:c>
      <x:c r="B434" s="142" t="n">
        <x:v>5.384615384615384e-7</x:v>
      </x:c>
      <x:c r="C434" s="142" t="n">
        <x:v>0.00823076923076923</x:v>
      </x:c>
      <x:c r="D434" s="160" t="n">
        <x:v>90</x:v>
      </x:c>
      <x:c r="E434" s="162" t="n">
        <x:v>19675.448524984477</x:v>
      </x:c>
      <x:c r="F434" s="162" t="n">
        <x:v>19675</x:v>
      </x:c>
      <x:c r="G434" s="144" t="n">
        <x:v>0.02068252760165369</x:v>
      </x:c>
      <x:c r="H434" s="144" t="n">
        <x:v>0.11119886903039927</x:v>
      </x:c>
      <x:c r="I434" s="137" t="str">
        <x:v>POSITIVE-MODEL-MARGIN</x:v>
      </x:c>
      <x:c r="J434" s="137" t="str">
        <x:v>V0.7-CONTROLLED-RESEARCH-SCREEN-NOT-DISTRIBUTION</x:v>
      </x:c>
    </x:row>
    <x:row r="435" ht="22" customHeight="1">
      <x:c r="A435" s="136" t="str">
        <x:v>SCR-0430</x:v>
      </x:c>
      <x:c r="B435" s="143" t="n">
        <x:v>5.384615384615384e-7</x:v>
      </x:c>
      <x:c r="C435" s="143" t="n">
        <x:v>0.00853846153846154</x:v>
      </x:c>
      <x:c r="D435" s="161" t="n">
        <x:v>90</x:v>
      </x:c>
      <x:c r="E435" s="163" t="n">
        <x:v>18166.89851305081</x:v>
      </x:c>
      <x:c r="F435" s="163" t="n">
        <x:v>18166</x:v>
      </x:c>
      <x:c r="G435" s="145" t="n">
        <x:v>0.020982429680006475</x:v>
      </x:c>
      <x:c r="H435" s="145" t="n">
        <x:v>0.11260520395123672</x:v>
      </x:c>
      <x:c r="I435" s="136" t="str">
        <x:v>POSITIVE-MODEL-MARGIN</x:v>
      </x:c>
      <x:c r="J435" s="136" t="str">
        <x:v>V0.7-CONTROLLED-RESEARCH-SCREEN-NOT-DISTRIBUTION</x:v>
      </x:c>
    </x:row>
    <x:row r="436" ht="22" customHeight="1">
      <x:c r="A436" s="137" t="str">
        <x:v>SCR-0431</x:v>
      </x:c>
      <x:c r="B436" s="142" t="n">
        <x:v>5.384615384615384e-7</x:v>
      </x:c>
      <x:c r="C436" s="142" t="n">
        <x:v>0.008846153846153847</x:v>
      </x:c>
      <x:c r="D436" s="160" t="n">
        <x:v>89</x:v>
      </x:c>
      <x:c r="E436" s="162" t="n">
        <x:v>16670.756184406262</x:v>
      </x:c>
      <x:c r="F436" s="162" t="n">
        <x:v>16670</x:v>
      </x:c>
      <x:c r="G436" s="144" t="n">
        <x:v>0.02121897548500948</x:v>
      </x:c>
      <x:c r="H436" s="144" t="n">
        <x:v>0.11400443305291934</x:v>
      </x:c>
      <x:c r="I436" s="137" t="str">
        <x:v>POSITIVE-MODEL-MARGIN</x:v>
      </x:c>
      <x:c r="J436" s="137" t="str">
        <x:v>V0.7-CONTROLLED-RESEARCH-SCREEN-NOT-DISTRIBUTION</x:v>
      </x:c>
    </x:row>
    <x:row r="437" ht="22" customHeight="1">
      <x:c r="A437" s="136" t="str">
        <x:v>SCR-0432</x:v>
      </x:c>
      <x:c r="B437" s="143" t="n">
        <x:v>5.384615384615384e-7</x:v>
      </x:c>
      <x:c r="C437" s="143" t="n">
        <x:v>0.009153846153846155</x:v>
      </x:c>
      <x:c r="D437" s="161" t="n">
        <x:v>88</x:v>
      </x:c>
      <x:c r="E437" s="163" t="n">
        <x:v>15188.640229728324</x:v>
      </x:c>
      <x:c r="F437" s="163" t="n">
        <x:v>15188</x:v>
      </x:c>
      <x:c r="G437" s="145" t="n">
        <x:v>0.02145579407954141</x:v>
      </x:c>
      <x:c r="H437" s="145" t="n">
        <x:v>0.11541813674774441</x:v>
      </x:c>
      <x:c r="I437" s="136" t="str">
        <x:v>POSITIVE-MODEL-MARGIN</x:v>
      </x:c>
      <x:c r="J437" s="136" t="str">
        <x:v>V0.7-CONTROLLED-RESEARCH-SCREEN-NOT-DISTRIBUTION</x:v>
      </x:c>
    </x:row>
    <x:row r="438" ht="22" customHeight="1">
      <x:c r="A438" s="137" t="str">
        <x:v>SCR-0433</x:v>
      </x:c>
      <x:c r="B438" s="142" t="n">
        <x:v>5.384615384615384e-7</x:v>
      </x:c>
      <x:c r="C438" s="142" t="n">
        <x:v>0.009461538461538462</x:v>
      </x:c>
      <x:c r="D438" s="160" t="n">
        <x:v>88</x:v>
      </x:c>
      <x:c r="E438" s="162" t="n">
        <x:v>13719.70764091959</x:v>
      </x:c>
      <x:c r="F438" s="162" t="n">
        <x:v>13719</x:v>
      </x:c>
      <x:c r="G438" s="144" t="n">
        <x:v>0.021755775418132946</x:v>
      </x:c>
      <x:c r="H438" s="144" t="n">
        <x:v>0.11682720741998324</x:v>
      </x:c>
      <x:c r="I438" s="137" t="str">
        <x:v>POSITIVE-MODEL-MARGIN</x:v>
      </x:c>
      <x:c r="J438" s="137" t="str">
        <x:v>V0.7-CONTROLLED-RESEARCH-SCREEN-NOT-DISTRIBUTION</x:v>
      </x:c>
    </x:row>
    <x:row r="439" ht="22" customHeight="1">
      <x:c r="A439" s="136" t="str">
        <x:v>SCR-0434</x:v>
      </x:c>
      <x:c r="B439" s="143" t="n">
        <x:v>5.384615384615384e-7</x:v>
      </x:c>
      <x:c r="C439" s="143" t="n">
        <x:v>0.00976923076923077</x:v>
      </x:c>
      <x:c r="D439" s="161" t="n">
        <x:v>86</x:v>
      </x:c>
      <x:c r="E439" s="163" t="n">
        <x:v>12265.770329716896</x:v>
      </x:c>
      <x:c r="F439" s="163" t="n">
        <x:v>12265</x:v>
      </x:c>
      <x:c r="G439" s="145" t="n">
        <x:v>0.02193038838959376</x:v>
      </x:c>
      <x:c r="H439" s="145" t="n">
        <x:v>0.11829297903679917</x:v>
      </x:c>
      <x:c r="I439" s="136" t="str">
        <x:v>POSITIVE-MODEL-MARGIN</x:v>
      </x:c>
      <x:c r="J439" s="136" t="str">
        <x:v>V0.7-CONTROLLED-RESEARCH-SCREEN-NOT-DISTRIBUTION</x:v>
      </x:c>
    </x:row>
    <x:row r="440" ht="22" customHeight="1">
      <x:c r="A440" s="137" t="str">
        <x:v>SCR-0435</x:v>
      </x:c>
      <x:c r="B440" s="142" t="n">
        <x:v>5.384615384615384e-7</x:v>
      </x:c>
      <x:c r="C440" s="142" t="n">
        <x:v>0.010076923076923077</x:v>
      </x:c>
      <x:c r="D440" s="160" t="n">
        <x:v>86</x:v>
      </x:c>
      <x:c r="E440" s="162" t="n">
        <x:v>10823.79097227882</x:v>
      </x:c>
      <x:c r="F440" s="162" t="n">
        <x:v>10823</x:v>
      </x:c>
      <x:c r="G440" s="144" t="n">
        <x:v>0.02223044841546278</x:v>
      </x:c>
      <x:c r="H440" s="144" t="n">
        <x:v>0.11970677779166808</x:v>
      </x:c>
      <x:c r="I440" s="137" t="str">
        <x:v>POSITIVE-MODEL-MARGIN</x:v>
      </x:c>
      <x:c r="J440" s="137" t="str">
        <x:v>V0.7-CONTROLLED-RESEARCH-SCREEN-NOT-DISTRIBUTION</x:v>
      </x:c>
    </x:row>
    <x:row r="441" ht="22" customHeight="1">
      <x:c r="A441" s="136" t="str">
        <x:v>SCR-0436</x:v>
      </x:c>
      <x:c r="B441" s="143" t="n">
        <x:v>5.384615384615384e-7</x:v>
      </x:c>
      <x:c r="C441" s="143" t="n">
        <x:v>0.010384615384615384</x:v>
      </x:c>
      <x:c r="D441" s="161" t="n">
        <x:v>85</x:v>
      </x:c>
      <x:c r="E441" s="163" t="n">
        <x:v>9398.573306321738</x:v>
      </x:c>
      <x:c r="F441" s="163" t="n">
        <x:v>9398</x:v>
      </x:c>
      <x:c r="G441" s="145" t="n">
        <x:v>0.02246823894603664</x:v>
      </x:c>
      <x:c r="H441" s="145" t="n">
        <x:v>0.12117151244233937</x:v>
      </x:c>
      <x:c r="I441" s="136" t="str">
        <x:v>POSITIVE-MODEL-MARGIN</x:v>
      </x:c>
      <x:c r="J441" s="136" t="str">
        <x:v>V0.7-CONTROLLED-RESEARCH-SCREEN-NOT-DISTRIBUTION</x:v>
      </x:c>
    </x:row>
    <x:row r="442" ht="22" customHeight="1">
      <x:c r="A442" s="137" t="str">
        <x:v>SCR-0437</x:v>
      </x:c>
      <x:c r="B442" s="142" t="n">
        <x:v>5.384615384615384e-7</x:v>
      </x:c>
      <x:c r="C442" s="142" t="n">
        <x:v>0.010692307692307692</x:v>
      </x:c>
      <x:c r="D442" s="160" t="n">
        <x:v>84</x:v>
      </x:c>
      <x:c r="E442" s="162" t="n">
        <x:v>7981.585910000915</x:v>
      </x:c>
      <x:c r="F442" s="162" t="n">
        <x:v>7981</x:v>
      </x:c>
      <x:c r="G442" s="144" t="n">
        <x:v>0.022706346844668757</x:v>
      </x:c>
      <x:c r="H442" s="144" t="n">
        <x:v>0.12265399991643122</x:v>
      </x:c>
      <x:c r="I442" s="137" t="str">
        <x:v>POSITIVE-MODEL-MARGIN</x:v>
      </x:c>
      <x:c r="J442" s="137" t="str">
        <x:v>V0.7-CONTROLLED-RESEARCH-SCREEN-NOT-DISTRIBUTION</x:v>
      </x:c>
    </x:row>
    <x:row r="443" ht="22" customHeight="1">
      <x:c r="A443" s="136" t="str">
        <x:v>SCR-0438</x:v>
      </x:c>
      <x:c r="B443" s="143" t="n">
        <x:v>5.384615384615384e-7</x:v>
      </x:c>
      <x:c r="C443" s="143" t="n">
        <x:v>0.011</x:v>
      </x:c>
      <x:c r="D443" s="161" t="n">
        <x:v>84</x:v>
      </x:c>
      <x:c r="E443" s="163" t="n">
        <x:v>6581.720356833819</x:v>
      </x:c>
      <x:c r="F443" s="163" t="n">
        <x:v>6581</x:v>
      </x:c>
      <x:c r="G443" s="145" t="n">
        <x:v>0.02300648498514819</x:v>
      </x:c>
      <x:c r="H443" s="145" t="n">
        <x:v>0.12407155129162789</x:v>
      </x:c>
      <x:c r="I443" s="136" t="str">
        <x:v>POSITIVE-MODEL-MARGIN</x:v>
      </x:c>
      <x:c r="J443" s="136" t="str">
        <x:v>V0.7-CONTROLLED-RESEARCH-SCREEN-NOT-DISTRIBUTION</x:v>
      </x:c>
    </x:row>
    <x:row r="444" ht="22" customHeight="1">
      <x:c r="A444" s="137" t="str">
        <x:v>SCR-0439</x:v>
      </x:c>
      <x:c r="B444" s="142" t="n">
        <x:v>5.384615384615384e-7</x:v>
      </x:c>
      <x:c r="C444" s="142" t="n">
        <x:v>0.011307692307692307</x:v>
      </x:c>
      <x:c r="D444" s="160" t="n">
        <x:v>82</x:v>
      </x:c>
      <x:c r="E444" s="162" t="n">
        <x:v>5190.673156803623</x:v>
      </x:c>
      <x:c r="F444" s="162" t="n">
        <x:v>5190</x:v>
      </x:c>
      <x:c r="G444" s="144" t="n">
        <x:v>0.02318365159705586</x:v>
      </x:c>
      <x:c r="H444" s="144" t="n">
        <x:v>0.12567699358886353</x:v>
      </x:c>
      <x:c r="I444" s="137" t="str">
        <x:v>POSITIVE-MODEL-MARGIN</x:v>
      </x:c>
      <x:c r="J444" s="137" t="str">
        <x:v>V0.7-CONTROLLED-RESEARCH-SCREEN-NOT-DISTRIBUTION</x:v>
      </x:c>
    </x:row>
    <x:row r="445" ht="22" customHeight="1">
      <x:c r="A445" s="136" t="str">
        <x:v>SCR-0440</x:v>
      </x:c>
      <x:c r="B445" s="143" t="n">
        <x:v>5.384615384615384e-7</x:v>
      </x:c>
      <x:c r="C445" s="143" t="n">
        <x:v>0.011615384615384614</x:v>
      </x:c>
      <x:c r="D445" s="161" t="n">
        <x:v>82</x:v>
      </x:c>
      <x:c r="E445" s="163" t="n">
        <x:v>3817.247529592514</x:v>
      </x:c>
      <x:c r="F445" s="163" t="n">
        <x:v>3817</x:v>
      </x:c>
      <x:c r="G445" s="145" t="n">
        <x:v>0.0234838671634217</x:v>
      </x:c>
      <x:c r="H445" s="145" t="n">
        <x:v>0.12710027404737545</x:v>
      </x:c>
      <x:c r="I445" s="136" t="str">
        <x:v>POSITIVE-MODEL-MARGIN</x:v>
      </x:c>
      <x:c r="J445" s="136" t="str">
        <x:v>V0.7-CONTROLLED-RESEARCH-SCREEN-NOT-DISTRIBUTION</x:v>
      </x:c>
    </x:row>
    <x:row r="446" ht="22" customHeight="1">
      <x:c r="A446" s="137" t="str">
        <x:v>SCR-0441</x:v>
      </x:c>
      <x:c r="B446" s="142" t="n">
        <x:v>5.384615384615384e-7</x:v>
      </x:c>
      <x:c r="C446" s="142" t="n">
        <x:v>0.011923076923076925</x:v>
      </x:c>
      <x:c r="D446" s="160" t="n">
        <x:v>82</x:v>
      </x:c>
      <x:c r="E446" s="162" t="n">
        <x:v>2454.99061712591</x:v>
      </x:c>
      <x:c r="F446" s="162" t="n">
        <x:v>2454</x:v>
      </x:c>
      <x:c r="G446" s="144" t="n">
        <x:v>0.023784082729787537</x:v>
      </x:c>
      <x:c r="H446" s="144" t="n">
        <x:v>0.1285221587888046</x:v>
      </x:c>
      <x:c r="I446" s="137" t="str">
        <x:v>POSITIVE-MODEL-MARGIN</x:v>
      </x:c>
      <x:c r="J446" s="137" t="str">
        <x:v>V0.7-CONTROLLED-RESEARCH-SCREEN-NOT-DISTRIBUTION</x:v>
      </x:c>
    </x:row>
    <x:row r="447" ht="22" customHeight="1">
      <x:c r="A447" s="136" t="str">
        <x:v>SCR-0442</x:v>
      </x:c>
      <x:c r="B447" s="143" t="n">
        <x:v>5.384615384615384e-7</x:v>
      </x:c>
      <x:c r="C447" s="143" t="n">
        <x:v>0.012230769230769233</x:v>
      </x:c>
      <x:c r="D447" s="161" t="n">
        <x:v>81</x:v>
      </x:c>
      <x:c r="E447" s="163" t="n">
        <x:v>1107.5946775927769</x:v>
      </x:c>
      <x:c r="F447" s="163" t="n">
        <x:v>1107</x:v>
      </x:c>
      <x:c r="G447" s="145" t="n">
        <x:v>0.02402333131013406</x:v>
      </x:c>
      <x:c r="H447" s="145" t="n">
        <x:v>0.13007020885233686</x:v>
      </x:c>
      <x:c r="I447" s="136" t="str">
        <x:v>POSITIVE-MODEL-MARGIN</x:v>
      </x:c>
      <x:c r="J447" s="136" t="str">
        <x:v>V0.7-CONTROLLED-RESEARCH-SCREEN-NOT-DISTRIBUTION</x:v>
      </x:c>
    </x:row>
    <x:row r="448" ht="22" customHeight="1">
      <x:c r="A448" s="137" t="str">
        <x:v>SCR-0443</x:v>
      </x:c>
      <x:c r="B448" s="142" t="n">
        <x:v>5.384615384615384e-7</x:v>
      </x:c>
      <x:c r="C448" s="142" t="n">
        <x:v>0.01253846153846154</x:v>
      </x:c>
      <x:c r="D448" s="160" t="n">
        <x:v>79</x:v>
      </x:c>
      <x:c r="E448" s="162" t="n">
        <x:v>-227.78415007706997</x:v>
      </x:c>
      <x:c r="F448" s="162" t="n">
        <x:v>0</x:v>
      </x:c>
      <x:c r="G448" s="144" t="n">
        <x:v>0.024202565273010603</x:v>
      </x:c>
      <x:c r="H448" s="144" t="n">
        <x:v>0.131801424438994</x:v>
      </x:c>
      <x:c r="I448" s="137" t="str">
        <x:v>NONPOSITIVE-MODEL-MARGIN</x:v>
      </x:c>
      <x:c r="J448" s="137" t="str">
        <x:v>V0.7-CONTROLLED-RESEARCH-SCREEN-NOT-DISTRIBUTION</x:v>
      </x:c>
    </x:row>
    <x:row r="449" ht="22" customHeight="1">
      <x:c r="A449" s="136" t="str">
        <x:v>SCR-0444</x:v>
      </x:c>
      <x:c r="B449" s="143" t="n">
        <x:v>5.384615384615384e-7</x:v>
      </x:c>
      <x:c r="C449" s="143" t="n">
        <x:v>0.012846153846153847</x:v>
      </x:c>
      <x:c r="D449" s="161" t="n">
        <x:v>78</x:v>
      </x:c>
      <x:c r="E449" s="163" t="n">
        <x:v>-1544.1688486622115</x:v>
      </x:c>
      <x:c r="F449" s="163" t="n">
        <x:v>0</x:v>
      </x:c>
      <x:c r="G449" s="145" t="n">
        <x:v>0.024442817258054184</x:v>
      </x:c>
      <x:c r="H449" s="145" t="n">
        <x:v>0.13341432022838004</x:v>
      </x:c>
      <x:c r="I449" s="136" t="str">
        <x:v>NONPOSITIVE-MODEL-MARGIN</x:v>
      </x:c>
      <x:c r="J449" s="136" t="str">
        <x:v>V0.7-CONTROLLED-RESEARCH-SCREEN-NOT-DISTRIBUTION</x:v>
      </x:c>
    </x:row>
    <x:row r="450" ht="22" customHeight="1">
      <x:c r="A450" s="137" t="str">
        <x:v>SCR-0445</x:v>
      </x:c>
      <x:c r="B450" s="142" t="n">
        <x:v>5.384615384615384e-7</x:v>
      </x:c>
      <x:c r="C450" s="142" t="n">
        <x:v>0.013153846153846155</x:v>
      </x:c>
      <x:c r="D450" s="160" t="n">
        <x:v>1</x:v>
      </x:c>
      <x:c r="E450" s="162" t="n">
        <x:v>-2397.9551482609795</x:v>
      </x:c>
      <x:c r="F450" s="162" t="n">
        <x:v>0</x:v>
      </x:c>
      <x:c r="G450" s="144" t="n">
        <x:v>0.021873074886542037</x:v>
      </x:c>
      <x:c r="H450" s="144" t="n">
        <x:v>0.5</x:v>
      </x:c>
      <x:c r="I450" s="137" t="str">
        <x:v>NONPOSITIVE-MODEL-MARGIN</x:v>
      </x:c>
      <x:c r="J450" s="137" t="str">
        <x:v>V0.7-CONTROLLED-RESEARCH-SCREEN-NOT-DISTRIBUTION</x:v>
      </x:c>
    </x:row>
    <x:row r="451" ht="22" customHeight="1">
      <x:c r="A451" s="136" t="str">
        <x:v>SCR-0446</x:v>
      </x:c>
      <x:c r="B451" s="143" t="n">
        <x:v>5.384615384615384e-7</x:v>
      </x:c>
      <x:c r="C451" s="143" t="n">
        <x:v>0.013461538461538462</x:v>
      </x:c>
      <x:c r="D451" s="161" t="n">
        <x:v>1</x:v>
      </x:c>
      <x:c r="E451" s="163" t="n">
        <x:v>-2416.893923402469</x:v>
      </x:c>
      <x:c r="F451" s="163" t="n">
        <x:v>0</x:v>
      </x:c>
      <x:c r="G451" s="145" t="n">
        <x:v>0.0221752571923933</x:v>
      </x:c>
      <x:c r="H451" s="145" t="n">
        <x:v>0.5</x:v>
      </x:c>
      <x:c r="I451" s="136" t="str">
        <x:v>NONPOSITIVE-MODEL-MARGIN</x:v>
      </x:c>
      <x:c r="J451" s="136" t="str">
        <x:v>V0.7-CONTROLLED-RESEARCH-SCREEN-NOT-DISTRIBUTION</x:v>
      </x:c>
    </x:row>
    <x:row r="452" ht="22" customHeight="1">
      <x:c r="A452" s="137" t="str">
        <x:v>SCR-0447</x:v>
      </x:c>
      <x:c r="B452" s="142" t="n">
        <x:v>5.384615384615384e-7</x:v>
      </x:c>
      <x:c r="C452" s="142" t="n">
        <x:v>0.01376923076923077</x:v>
      </x:c>
      <x:c r="D452" s="160" t="n">
        <x:v>1</x:v>
      </x:c>
      <x:c r="E452" s="162" t="n">
        <x:v>-2435.7717322641124</x:v>
      </x:c>
      <x:c r="F452" s="162" t="n">
        <x:v>0</x:v>
      </x:c>
      <x:c r="G452" s="144" t="n">
        <x:v>0.022477439498244555</x:v>
      </x:c>
      <x:c r="H452" s="144" t="n">
        <x:v>0.5</x:v>
      </x:c>
      <x:c r="I452" s="137" t="str">
        <x:v>NONPOSITIVE-MODEL-MARGIN</x:v>
      </x:c>
      <x:c r="J452" s="137" t="str">
        <x:v>V0.7-CONTROLLED-RESEARCH-SCREEN-NOT-DISTRIBUTION</x:v>
      </x:c>
    </x:row>
    <x:row r="453" ht="22" customHeight="1">
      <x:c r="A453" s="136" t="str">
        <x:v>SCR-0448</x:v>
      </x:c>
      <x:c r="B453" s="143" t="n">
        <x:v>5.384615384615384e-7</x:v>
      </x:c>
      <x:c r="C453" s="143" t="n">
        <x:v>0.014076923076923077</x:v>
      </x:c>
      <x:c r="D453" s="161" t="n">
        <x:v>1</x:v>
      </x:c>
      <x:c r="E453" s="163" t="n">
        <x:v>-2454.589160882822</x:v>
      </x:c>
      <x:c r="F453" s="163" t="n">
        <x:v>0</x:v>
      </x:c>
      <x:c r="G453" s="145" t="n">
        <x:v>0.022779621804095814</x:v>
      </x:c>
      <x:c r="H453" s="145" t="n">
        <x:v>0.5</x:v>
      </x:c>
      <x:c r="I453" s="136" t="str">
        <x:v>NONPOSITIVE-MODEL-MARGIN</x:v>
      </x:c>
      <x:c r="J453" s="136" t="str">
        <x:v>V0.7-CONTROLLED-RESEARCH-SCREEN-NOT-DISTRIBUTION</x:v>
      </x:c>
    </x:row>
    <x:row r="454" ht="22" customHeight="1">
      <x:c r="A454" s="137" t="str">
        <x:v>SCR-0449</x:v>
      </x:c>
      <x:c r="B454" s="142" t="n">
        <x:v>5.384615384615384e-7</x:v>
      </x:c>
      <x:c r="C454" s="142" t="n">
        <x:v>0.014384615384615385</x:v>
      </x:c>
      <x:c r="D454" s="160" t="n">
        <x:v>1</x:v>
      </x:c>
      <x:c r="E454" s="162" t="n">
        <x:v>-2473.3467851561018</x:v>
      </x:c>
      <x:c r="F454" s="162" t="n">
        <x:v>0</x:v>
      </x:c>
      <x:c r="G454" s="144" t="n">
        <x:v>0.02308180410994707</x:v>
      </x:c>
      <x:c r="H454" s="144" t="n">
        <x:v>0.5</x:v>
      </x:c>
      <x:c r="I454" s="137" t="str">
        <x:v>NONPOSITIVE-MODEL-MARGIN</x:v>
      </x:c>
      <x:c r="J454" s="137" t="str">
        <x:v>V0.7-CONTROLLED-RESEARCH-SCREEN-NOT-DISTRIBUTION</x:v>
      </x:c>
    </x:row>
    <x:row r="455" ht="22" customHeight="1">
      <x:c r="A455" s="136" t="str">
        <x:v>SCR-0450</x:v>
      </x:c>
      <x:c r="B455" s="143" t="n">
        <x:v>5.384615384615384e-7</x:v>
      </x:c>
      <x:c r="C455" s="143" t="n">
        <x:v>0.014692307692307692</x:v>
      </x:c>
      <x:c r="D455" s="161" t="n">
        <x:v>1</x:v>
      </x:c>
      <x:c r="E455" s="163" t="n">
        <x:v>-2492.0451710299135</x:v>
      </x:c>
      <x:c r="F455" s="163" t="n">
        <x:v>0</x:v>
      </x:c>
      <x:c r="G455" s="145" t="n">
        <x:v>0.02338398641579833</x:v>
      </x:c>
      <x:c r="H455" s="145" t="n">
        <x:v>0.5</x:v>
      </x:c>
      <x:c r="I455" s="136" t="str">
        <x:v>NONPOSITIVE-MODEL-MARGIN</x:v>
      </x:c>
      <x:c r="J455" s="136" t="str">
        <x:v>V0.7-CONTROLLED-RESEARCH-SCREEN-NOT-DISTRIBUTION</x:v>
      </x:c>
    </x:row>
    <x:row r="456" ht="22" customHeight="1">
      <x:c r="A456" s="137" t="str">
        <x:v>SCR-0451</x:v>
      </x:c>
      <x:c r="B456" s="142" t="n">
        <x:v>5.384615384615384e-7</x:v>
      </x:c>
      <x:c r="C456" s="142" t="n">
        <x:v>0.015</x:v>
      </x:c>
      <x:c r="D456" s="160" t="n">
        <x:v>1</x:v>
      </x:c>
      <x:c r="E456" s="162" t="n">
        <x:v>-2514.4037674911215</x:v>
      </x:c>
      <x:c r="F456" s="162" t="n">
        <x:v>0</x:v>
      </x:c>
      <x:c r="G456" s="144" t="n">
        <x:v>0.023686168721649584</x:v>
      </x:c>
      <x:c r="H456" s="144" t="n">
        <x:v>0.5</x:v>
      </x:c>
      <x:c r="I456" s="137" t="str">
        <x:v>NONPOSITIVE-MODEL-MARGIN</x:v>
      </x:c>
      <x:c r="J456" s="137" t="str">
        <x:v>V0.7-CONTROLLED-RESEARCH-SCREEN-NOT-DISTRIBUTION</x:v>
      </x:c>
    </x:row>
    <x:row r="457" ht="22" customHeight="1">
      <x:c r="A457" s="136" t="str">
        <x:v>SCR-0452</x:v>
      </x:c>
      <x:c r="B457" s="143" t="n">
        <x:v>5.871794871794871e-7</x:v>
      </x:c>
      <x:c r="C457" s="143" t="n">
        <x:v>0.003</x:v>
      </x:c>
      <x:c r="D457" s="161" t="n">
        <x:v>96</x:v>
      </x:c>
      <x:c r="E457" s="163" t="n">
        <x:v>40969.06503536184</x:v>
      </x:c>
      <x:c r="F457" s="163" t="n">
        <x:v>40969</x:v>
      </x:c>
      <x:c r="G457" s="145" t="n">
        <x:v>0.01707168018670169</x:v>
      </x:c>
      <x:c r="H457" s="145" t="n">
        <x:v>0.09356348755868675</x:v>
      </x:c>
      <x:c r="I457" s="136" t="str">
        <x:v>POSITIVE-MODEL-MARGIN</x:v>
      </x:c>
      <x:c r="J457" s="136" t="str">
        <x:v>V0.7-CONTROLLED-RESEARCH-SCREEN-NOT-DISTRIBUTION</x:v>
      </x:c>
    </x:row>
    <x:row r="458" ht="22" customHeight="1">
      <x:c r="A458" s="137" t="str">
        <x:v>SCR-0453</x:v>
      </x:c>
      <x:c r="B458" s="142" t="n">
        <x:v>5.871794871794871e-7</x:v>
      </x:c>
      <x:c r="C458" s="142" t="n">
        <x:v>0.003307692307692308</x:v>
      </x:c>
      <x:c r="D458" s="160" t="n">
        <x:v>95</x:v>
      </x:c>
      <x:c r="E458" s="162" t="n">
        <x:v>39295.078462572455</x:v>
      </x:c>
      <x:c r="F458" s="162" t="n">
        <x:v>39295</x:v>
      </x:c>
      <x:c r="G458" s="144" t="n">
        <x:v>0.017299679541650386</x:v>
      </x:c>
      <x:c r="H458" s="144" t="n">
        <x:v>0.09485453597893455</x:v>
      </x:c>
      <x:c r="I458" s="137" t="str">
        <x:v>POSITIVE-MODEL-MARGIN</x:v>
      </x:c>
      <x:c r="J458" s="137" t="str">
        <x:v>V0.7-CONTROLLED-RESEARCH-SCREEN-NOT-DISTRIBUTION</x:v>
      </x:c>
    </x:row>
    <x:row r="459" ht="22" customHeight="1">
      <x:c r="A459" s="136" t="str">
        <x:v>SCR-0454</x:v>
      </x:c>
      <x:c r="B459" s="143" t="n">
        <x:v>5.871794871794871e-7</x:v>
      </x:c>
      <x:c r="C459" s="143" t="n">
        <x:v>0.0036153846153846154</x:v>
      </x:c>
      <x:c r="D459" s="161" t="n">
        <x:v>95</x:v>
      </x:c>
      <x:c r="E459" s="163" t="n">
        <x:v>37635.986847637636</x:v>
      </x:c>
      <x:c r="F459" s="163" t="n">
        <x:v>37635</x:v>
      </x:c>
      <x:c r="G459" s="145" t="n">
        <x:v>0.017598704717799146</x:v>
      </x:c>
      <x:c r="H459" s="145" t="n">
        <x:v>0.09627378823593485</x:v>
      </x:c>
      <x:c r="I459" s="136" t="str">
        <x:v>POSITIVE-MODEL-MARGIN</x:v>
      </x:c>
      <x:c r="J459" s="136" t="str">
        <x:v>V0.7-CONTROLLED-RESEARCH-SCREEN-NOT-DISTRIBUTION</x:v>
      </x:c>
    </x:row>
    <x:row r="460" ht="22" customHeight="1">
      <x:c r="A460" s="137" t="str">
        <x:v>SCR-0455</x:v>
      </x:c>
      <x:c r="B460" s="142" t="n">
        <x:v>5.871794871794871e-7</x:v>
      </x:c>
      <x:c r="C460" s="142" t="n">
        <x:v>0.003923076923076923</x:v>
      </x:c>
      <x:c r="D460" s="160" t="n">
        <x:v>94</x:v>
      </x:c>
      <x:c r="E460" s="162" t="n">
        <x:v>35991.322967865104</x:v>
      </x:c>
      <x:c r="F460" s="162" t="n">
        <x:v>35991</x:v>
      </x:c>
      <x:c r="G460" s="144" t="n">
        <x:v>0.01782701705293145</x:v>
      </x:c>
      <x:c r="H460" s="144" t="n">
        <x:v>0.09757688934220629</x:v>
      </x:c>
      <x:c r="I460" s="137" t="str">
        <x:v>POSITIVE-MODEL-MARGIN</x:v>
      </x:c>
      <x:c r="J460" s="137" t="str">
        <x:v>V0.7-CONTROLLED-RESEARCH-SCREEN-NOT-DISTRIBUTION</x:v>
      </x:c>
    </x:row>
    <x:row r="461" ht="22" customHeight="1">
      <x:c r="A461" s="136" t="str">
        <x:v>SCR-0456</x:v>
      </x:c>
      <x:c r="B461" s="143" t="n">
        <x:v>5.871794871794871e-7</x:v>
      </x:c>
      <x:c r="C461" s="143" t="n">
        <x:v>0.004230769230769231</x:v>
      </x:c>
      <x:c r="D461" s="161" t="n">
        <x:v>93</x:v>
      </x:c>
      <x:c r="E461" s="163" t="n">
        <x:v>34360.19921460556</x:v>
      </x:c>
      <x:c r="F461" s="163" t="n">
        <x:v>34360</x:v>
      </x:c>
      <x:c r="G461" s="145" t="n">
        <x:v>0.01805568848498112</x:v>
      </x:c>
      <x:c r="H461" s="145" t="n">
        <x:v>0.09889195137442318</x:v>
      </x:c>
      <x:c r="I461" s="136" t="str">
        <x:v>POSITIVE-MODEL-MARGIN</x:v>
      </x:c>
      <x:c r="J461" s="136" t="str">
        <x:v>V0.7-CONTROLLED-RESEARCH-SCREEN-NOT-DISTRIBUTION</x:v>
      </x:c>
    </x:row>
    <x:row r="462" ht="22" customHeight="1">
      <x:c r="A462" s="137" t="str">
        <x:v>SCR-0457</x:v>
      </x:c>
      <x:c r="B462" s="142" t="n">
        <x:v>5.871794871794871e-7</x:v>
      </x:c>
      <x:c r="C462" s="142" t="n">
        <x:v>0.004538461538461538</x:v>
      </x:c>
      <x:c r="D462" s="160" t="n">
        <x:v>93</x:v>
      </x:c>
      <x:c r="E462" s="162" t="n">
        <x:v>32741.337546987128</x:v>
      </x:c>
      <x:c r="F462" s="162" t="n">
        <x:v>32741</x:v>
      </x:c>
      <x:c r="G462" s="144" t="n">
        <x:v>0.018354801212256144</x:v>
      </x:c>
      <x:c r="H462" s="144" t="n">
        <x:v>0.10031238686169061</x:v>
      </x:c>
      <x:c r="I462" s="137" t="str">
        <x:v>POSITIVE-MODEL-MARGIN</x:v>
      </x:c>
      <x:c r="J462" s="137" t="str">
        <x:v>V0.7-CONTROLLED-RESEARCH-SCREEN-NOT-DISTRIBUTION</x:v>
      </x:c>
    </x:row>
    <x:row r="463" ht="22" customHeight="1">
      <x:c r="A463" s="136" t="str">
        <x:v>SCR-0458</x:v>
      </x:c>
      <x:c r="B463" s="143" t="n">
        <x:v>5.871794871794871e-7</x:v>
      </x:c>
      <x:c r="C463" s="143" t="n">
        <x:v>0.004846153846153846</x:v>
      </x:c>
      <x:c r="D463" s="161" t="n">
        <x:v>92</x:v>
      </x:c>
      <x:c r="E463" s="163" t="n">
        <x:v>31136.554101465565</x:v>
      </x:c>
      <x:c r="F463" s="163" t="n">
        <x:v>31136</x:v>
      </x:c>
      <x:c r="G463" s="145" t="n">
        <x:v>0.018583862904326474</x:v>
      </x:c>
      <x:c r="H463" s="145" t="n">
        <x:v>0.10164148222596404</x:v>
      </x:c>
      <x:c r="I463" s="136" t="str">
        <x:v>POSITIVE-MODEL-MARGIN</x:v>
      </x:c>
      <x:c r="J463" s="136" t="str">
        <x:v>V0.7-CONTROLLED-RESEARCH-SCREEN-NOT-DISTRIBUTION</x:v>
      </x:c>
    </x:row>
    <x:row r="464" ht="22" customHeight="1">
      <x:c r="A464" s="137" t="str">
        <x:v>SCR-0459</x:v>
      </x:c>
      <x:c r="B464" s="142" t="n">
        <x:v>5.871794871794871e-7</x:v>
      </x:c>
      <x:c r="C464" s="142" t="n">
        <x:v>0.005</x:v>
      </x:c>
      <x:c r="D464" s="160" t="n">
        <x:v>92</x:v>
      </x:c>
      <x:c r="E464" s="162" t="n">
        <x:v>30341.17751180765</x:v>
      </x:c>
      <x:c r="F464" s="162" t="n">
        <x:v>30341</x:v>
      </x:c>
      <x:c r="G464" s="144" t="n">
        <x:v>0.018733441033108707</x:v>
      </x:c>
      <x:c r="H464" s="144" t="n">
        <x:v>0.10235187039590463</x:v>
      </x:c>
      <x:c r="I464" s="137" t="str">
        <x:v>POSITIVE-MODEL-MARGIN</x:v>
      </x:c>
      <x:c r="J464" s="137" t="str">
        <x:v>V0.7-CONTROLLED-RESEARCH-SCREEN-NOT-DISTRIBUTION</x:v>
      </x:c>
    </x:row>
    <x:row r="465" ht="22" customHeight="1">
      <x:c r="A465" s="136" t="str">
        <x:v>SCR-0460</x:v>
      </x:c>
      <x:c r="B465" s="143" t="n">
        <x:v>5.871794871794871e-7</x:v>
      </x:c>
      <x:c r="C465" s="143" t="n">
        <x:v>0.005153846153846154</x:v>
      </x:c>
      <x:c r="D465" s="161" t="n">
        <x:v>92</x:v>
      </x:c>
      <x:c r="E465" s="163" t="n">
        <x:v>29548.249498854322</x:v>
      </x:c>
      <x:c r="F465" s="163" t="n">
        <x:v>29548</x:v>
      </x:c>
      <x:c r="G465" s="145" t="n">
        <x:v>0.018883019161890932</x:v>
      </x:c>
      <x:c r="H465" s="145" t="n">
        <x:v>0.10306180724512647</x:v>
      </x:c>
      <x:c r="I465" s="136" t="str">
        <x:v>POSITIVE-MODEL-MARGIN</x:v>
      </x:c>
      <x:c r="J465" s="136" t="str">
        <x:v>V0.7-CONTROLLED-RESEARCH-SCREEN-NOT-DISTRIBUTION</x:v>
      </x:c>
    </x:row>
    <x:row r="466" ht="22" customHeight="1">
      <x:c r="A466" s="137" t="str">
        <x:v>SCR-0461</x:v>
      </x:c>
      <x:c r="B466" s="142" t="n">
        <x:v>5.871794871794871e-7</x:v>
      </x:c>
      <x:c r="C466" s="142" t="n">
        <x:v>0.005461538461538462</x:v>
      </x:c>
      <x:c r="D466" s="160" t="n">
        <x:v>91</x:v>
      </x:c>
      <x:c r="E466" s="162" t="n">
        <x:v>27972.24726441586</x:v>
      </x:c>
      <x:c r="F466" s="162" t="n">
        <x:v>27972</x:v>
      </x:c>
      <x:c r="G466" s="144" t="n">
        <x:v>0.019112356362407813</x:v>
      </x:c>
      <x:c r="H466" s="144" t="n">
        <x:v>0.104404517148618</x:v>
      </x:c>
      <x:c r="I466" s="137" t="str">
        <x:v>POSITIVE-MODEL-MARGIN</x:v>
      </x:c>
      <x:c r="J466" s="137" t="str">
        <x:v>V0.7-CONTROLLED-RESEARCH-SCREEN-NOT-DISTRIBUTION</x:v>
      </x:c>
    </x:row>
    <x:row r="467" ht="22" customHeight="1">
      <x:c r="A467" s="136" t="str">
        <x:v>SCR-0462</x:v>
      </x:c>
      <x:c r="B467" s="143" t="n">
        <x:v>5.871794871794871e-7</x:v>
      </x:c>
      <x:c r="C467" s="143" t="n">
        <x:v>0.0057692307692307696</x:v>
      </x:c>
      <x:c r="D467" s="161" t="n">
        <x:v>91</x:v>
      </x:c>
      <x:c r="E467" s="163" t="n">
        <x:v>26405.99716635788</x:v>
      </x:c>
      <x:c r="F467" s="163" t="n">
        <x:v>26405</x:v>
      </x:c>
      <x:c r="G467" s="145" t="n">
        <x:v>0.01941155606009667</x:v>
      </x:c>
      <x:c r="H467" s="145" t="n">
        <x:v>0.10582491270867224</x:v>
      </x:c>
      <x:c r="I467" s="136" t="str">
        <x:v>POSITIVE-MODEL-MARGIN</x:v>
      </x:c>
      <x:c r="J467" s="136" t="str">
        <x:v>V0.7-CONTROLLED-RESEARCH-SCREEN-NOT-DISTRIBUTION</x:v>
      </x:c>
    </x:row>
    <x:row r="468" ht="22" customHeight="1">
      <x:c r="A468" s="137" t="str">
        <x:v>SCR-0463</x:v>
      </x:c>
      <x:c r="B468" s="142" t="n">
        <x:v>5.871794871794871e-7</x:v>
      </x:c>
      <x:c r="C468" s="142" t="n">
        <x:v>0.006076923076923077</x:v>
      </x:c>
      <x:c r="D468" s="160" t="n">
        <x:v>90</x:v>
      </x:c>
      <x:c r="E468" s="162" t="n">
        <x:v>24855.931466720303</x:v>
      </x:c>
      <x:c r="F468" s="162" t="n">
        <x:v>24855</x:v>
      </x:c>
      <x:c r="G468" s="144" t="n">
        <x:v>0.01964125796235445</x:v>
      </x:c>
      <x:c r="H468" s="144" t="n">
        <x:v>0.10718285204439261</x:v>
      </x:c>
      <x:c r="I468" s="137" t="str">
        <x:v>POSITIVE-MODEL-MARGIN</x:v>
      </x:c>
      <x:c r="J468" s="137" t="str">
        <x:v>V0.7-CONTROLLED-RESEARCH-SCREEN-NOT-DISTRIBUTION</x:v>
      </x:c>
    </x:row>
    <x:row r="469" ht="22" customHeight="1">
      <x:c r="A469" s="136" t="str">
        <x:v>SCR-0464</x:v>
      </x:c>
      <x:c r="B469" s="143" t="n">
        <x:v>5.871794871794871e-7</x:v>
      </x:c>
      <x:c r="C469" s="143" t="n">
        <x:v>0.006384615384615384</x:v>
      </x:c>
      <x:c r="D469" s="161" t="n">
        <x:v>89</x:v>
      </x:c>
      <x:c r="E469" s="163" t="n">
        <x:v>23320.85856075773</x:v>
      </x:c>
      <x:c r="F469" s="163" t="n">
        <x:v>23320</x:v>
      </x:c>
      <x:c r="G469" s="145" t="n">
        <x:v>0.019871370247451375</x:v>
      </x:c>
      <x:c r="H469" s="145" t="n">
        <x:v>0.10855563007331775</x:v>
      </x:c>
      <x:c r="I469" s="136" t="str">
        <x:v>POSITIVE-MODEL-MARGIN</x:v>
      </x:c>
      <x:c r="J469" s="136" t="str">
        <x:v>V0.7-CONTROLLED-RESEARCH-SCREEN-NOT-DISTRIBUTION</x:v>
      </x:c>
    </x:row>
    <x:row r="470" ht="22" customHeight="1">
      <x:c r="A470" s="137" t="str">
        <x:v>SCR-0465</x:v>
      </x:c>
      <x:c r="B470" s="142" t="n">
        <x:v>5.871794871794871e-7</x:v>
      </x:c>
      <x:c r="C470" s="142" t="n">
        <x:v>0.006692307692307693</x:v>
      </x:c>
      <x:c r="D470" s="160" t="n">
        <x:v>89</x:v>
      </x:c>
      <x:c r="E470" s="162" t="n">
        <x:v>21796.076023006524</x:v>
      </x:c>
      <x:c r="F470" s="162" t="n">
        <x:v>21796</x:v>
      </x:c>
      <x:c r="G470" s="144" t="n">
        <x:v>0.02017065633153443</x:v>
      </x:c>
      <x:c r="H470" s="144" t="n">
        <x:v>0.10997836904189393</x:v>
      </x:c>
      <x:c r="I470" s="137" t="str">
        <x:v>POSITIVE-MODEL-MARGIN</x:v>
      </x:c>
      <x:c r="J470" s="137" t="str">
        <x:v>V0.7-CONTROLLED-RESEARCH-SCREEN-NOT-DISTRIBUTION</x:v>
      </x:c>
    </x:row>
    <x:row r="471" ht="22" customHeight="1">
      <x:c r="A471" s="136" t="str">
        <x:v>SCR-0466</x:v>
      </x:c>
      <x:c r="B471" s="143" t="n">
        <x:v>5.871794871794871e-7</x:v>
      </x:c>
      <x:c r="C471" s="143" t="n">
        <x:v>0.007</x:v>
      </x:c>
      <x:c r="D471" s="161" t="n">
        <x:v>88</x:v>
      </x:c>
      <x:c r="E471" s="163" t="n">
        <x:v>20282.968472311117</x:v>
      </x:c>
      <x:c r="F471" s="163" t="n">
        <x:v>20282</x:v>
      </x:c>
      <x:c r="G471" s="145" t="n">
        <x:v>0.020401107195825222</x:v>
      </x:c>
      <x:c r="H471" s="145" t="n">
        <x:v>0.11136759037440601</x:v>
      </x:c>
      <x:c r="I471" s="136" t="str">
        <x:v>POSITIVE-MODEL-MARGIN</x:v>
      </x:c>
      <x:c r="J471" s="136" t="str">
        <x:v>V0.7-CONTROLLED-RESEARCH-SCREEN-NOT-DISTRIBUTION</x:v>
      </x:c>
    </x:row>
    <x:row r="472" ht="22" customHeight="1">
      <x:c r="A472" s="137" t="str">
        <x:v>SCR-0467</x:v>
      </x:c>
      <x:c r="B472" s="142" t="n">
        <x:v>5.871794871794871e-7</x:v>
      </x:c>
      <x:c r="C472" s="142" t="n">
        <x:v>0.007307692307692308</x:v>
      </x:c>
      <x:c r="D472" s="160" t="n">
        <x:v>87</x:v>
      </x:c>
      <x:c r="E472" s="162" t="n">
        <x:v>18785.039131610658</x:v>
      </x:c>
      <x:c r="F472" s="162" t="n">
        <x:v>18785</x:v>
      </x:c>
      <x:c r="G472" s="144" t="n">
        <x:v>0.0206319423353671</x:v>
      </x:c>
      <x:c r="H472" s="144" t="n">
        <x:v>0.11277270507090977</x:v>
      </x:c>
      <x:c r="I472" s="137" t="str">
        <x:v>POSITIVE-MODEL-MARGIN</x:v>
      </x:c>
      <x:c r="J472" s="137" t="str">
        <x:v>V0.7-CONTROLLED-RESEARCH-SCREEN-NOT-DISTRIBUTION</x:v>
      </x:c>
    </x:row>
    <x:row r="473" ht="22" customHeight="1">
      <x:c r="A473" s="136" t="str">
        <x:v>SCR-0468</x:v>
      </x:c>
      <x:c r="B473" s="143" t="n">
        <x:v>5.871794871794871e-7</x:v>
      </x:c>
      <x:c r="C473" s="143" t="n">
        <x:v>0.007615384615384616</x:v>
      </x:c>
      <x:c r="D473" s="161" t="n">
        <x:v>87</x:v>
      </x:c>
      <x:c r="E473" s="163" t="n">
        <x:v>17300.767720105305</x:v>
      </x:c>
      <x:c r="F473" s="163" t="n">
        <x:v>17300</x:v>
      </x:c>
      <x:c r="G473" s="145" t="n">
        <x:v>0.02093131415642312</x:v>
      </x:c>
      <x:c r="H473" s="145" t="n">
        <x:v>0.11419833668911449</x:v>
      </x:c>
      <x:c r="I473" s="136" t="str">
        <x:v>POSITIVE-MODEL-MARGIN</x:v>
      </x:c>
      <x:c r="J473" s="136" t="str">
        <x:v>V0.7-CONTROLLED-RESEARCH-SCREEN-NOT-DISTRIBUTION</x:v>
      </x:c>
    </x:row>
    <x:row r="474" ht="22" customHeight="1">
      <x:c r="A474" s="137" t="str">
        <x:v>SCR-0469</x:v>
      </x:c>
      <x:c r="B474" s="142" t="n">
        <x:v>5.871794871794871e-7</x:v>
      </x:c>
      <x:c r="C474" s="142" t="n">
        <x:v>0.007923076923076923</x:v>
      </x:c>
      <x:c r="D474" s="160" t="n">
        <x:v>86</x:v>
      </x:c>
      <x:c r="E474" s="162" t="n">
        <x:v>15828.652822774737</x:v>
      </x:c>
      <x:c r="F474" s="162" t="n">
        <x:v>15828</x:v>
      </x:c>
      <x:c r="G474" s="144" t="n">
        <x:v>0.02116246126201276</x:v>
      </x:c>
      <x:c r="H474" s="144" t="n">
        <x:v>0.1156212101410473</x:v>
      </x:c>
      <x:c r="I474" s="137" t="str">
        <x:v>POSITIVE-MODEL-MARGIN</x:v>
      </x:c>
      <x:c r="J474" s="137" t="str">
        <x:v>V0.7-CONTROLLED-RESEARCH-SCREEN-NOT-DISTRIBUTION</x:v>
      </x:c>
    </x:row>
    <x:row r="475" ht="22" customHeight="1">
      <x:c r="A475" s="136" t="str">
        <x:v>SCR-0470</x:v>
      </x:c>
      <x:c r="B475" s="143" t="n">
        <x:v>5.871794871794871e-7</x:v>
      </x:c>
      <x:c r="C475" s="143" t="n">
        <x:v>0.00823076923076923</x:v>
      </x:c>
      <x:c r="D475" s="161" t="n">
        <x:v>85</x:v>
      </x:c>
      <x:c r="E475" s="163" t="n">
        <x:v>14371.892614739645</x:v>
      </x:c>
      <x:c r="F475" s="163" t="n">
        <x:v>14371</x:v>
      </x:c>
      <x:c r="G475" s="145" t="n">
        <x:v>0.02139396599865878</x:v>
      </x:c>
      <x:c r="H475" s="145" t="n">
        <x:v>0.11706113552177969</x:v>
      </x:c>
      <x:c r="I475" s="136" t="str">
        <x:v>POSITIVE-MODEL-MARGIN</x:v>
      </x:c>
      <x:c r="J475" s="136" t="str">
        <x:v>V0.7-CONTROLLED-RESEARCH-SCREEN-NOT-DISTRIBUTION</x:v>
      </x:c>
    </x:row>
    <x:row r="476" ht="22" customHeight="1">
      <x:c r="A476" s="137" t="str">
        <x:v>SCR-0471</x:v>
      </x:c>
      <x:c r="B476" s="142" t="n">
        <x:v>5.871794871794871e-7</x:v>
      </x:c>
      <x:c r="C476" s="142" t="n">
        <x:v>0.00853846153846154</x:v>
      </x:c>
      <x:c r="D476" s="160" t="n">
        <x:v>84</x:v>
      </x:c>
      <x:c r="E476" s="162" t="n">
        <x:v>12926.788008283958</x:v>
      </x:c>
      <x:c r="F476" s="162" t="n">
        <x:v>12926</x:v>
      </x:c>
      <x:c r="G476" s="144" t="n">
        <x:v>0.021625814925711164</x:v>
      </x:c>
      <x:c r="H476" s="144" t="n">
        <x:v>0.11851868840071023</x:v>
      </x:c>
      <x:c r="I476" s="137" t="str">
        <x:v>POSITIVE-MODEL-MARGIN</x:v>
      </x:c>
      <x:c r="J476" s="137" t="str">
        <x:v>V0.7-CONTROLLED-RESEARCH-SCREEN-NOT-DISTRIBUTION</x:v>
      </x:c>
    </x:row>
    <x:row r="477" ht="22" customHeight="1">
      <x:c r="A477" s="136" t="str">
        <x:v>SCR-0472</x:v>
      </x:c>
      <x:c r="B477" s="143" t="n">
        <x:v>5.871794871794871e-7</x:v>
      </x:c>
      <x:c r="C477" s="143" t="n">
        <x:v>0.008846153846153847</x:v>
      </x:c>
      <x:c r="D477" s="161" t="n">
        <x:v>84</x:v>
      </x:c>
      <x:c r="E477" s="163" t="n">
        <x:v>11493.771115261701</x:v>
      </x:c>
      <x:c r="F477" s="163" t="n">
        <x:v>11493</x:v>
      </x:c>
      <x:c r="G477" s="145" t="n">
        <x:v>0.02192531422520647</x:v>
      </x:c>
      <x:c r="H477" s="145" t="n">
        <x:v>0.11995047370321725</x:v>
      </x:c>
      <x:c r="I477" s="136" t="str">
        <x:v>POSITIVE-MODEL-MARGIN</x:v>
      </x:c>
      <x:c r="J477" s="136" t="str">
        <x:v>V0.7-CONTROLLED-RESEARCH-SCREEN-NOT-DISTRIBUTION</x:v>
      </x:c>
    </x:row>
    <x:row r="478" ht="22" customHeight="1">
      <x:c r="A478" s="137" t="str">
        <x:v>SCR-0473</x:v>
      </x:c>
      <x:c r="B478" s="142" t="n">
        <x:v>5.871794871794871e-7</x:v>
      </x:c>
      <x:c r="C478" s="142" t="n">
        <x:v>0.009153846153846155</x:v>
      </x:c>
      <x:c r="D478" s="160" t="n">
        <x:v>83</x:v>
      </x:c>
      <x:c r="E478" s="162" t="n">
        <x:v>10073.416965578235</x:v>
      </x:c>
      <x:c r="F478" s="162" t="n">
        <x:v>10073</x:v>
      </x:c>
      <x:c r="G478" s="144" t="n">
        <x:v>0.022157637749155988</x:v>
      </x:c>
      <x:c r="H478" s="144" t="n">
        <x:v>0.12143024968938164</x:v>
      </x:c>
      <x:c r="I478" s="137" t="str">
        <x:v>POSITIVE-MODEL-MARGIN</x:v>
      </x:c>
      <x:c r="J478" s="137" t="str">
        <x:v>V0.7-CONTROLLED-RESEARCH-SCREEN-NOT-DISTRIBUTION</x:v>
      </x:c>
    </x:row>
    <x:row r="479" ht="22" customHeight="1">
      <x:c r="A479" s="136" t="str">
        <x:v>SCR-0474</x:v>
      </x:c>
      <x:c r="B479" s="143" t="n">
        <x:v>5.871794871794871e-7</x:v>
      </x:c>
      <x:c r="C479" s="143" t="n">
        <x:v>0.009461538461538462</x:v>
      </x:c>
      <x:c r="D479" s="161" t="n">
        <x:v>82</x:v>
      </x:c>
      <x:c r="E479" s="163" t="n">
        <x:v>8668.776629739357</x:v>
      </x:c>
      <x:c r="F479" s="163" t="n">
        <x:v>8668</x:v>
      </x:c>
      <x:c r="G479" s="145" t="n">
        <x:v>0.022390278076019544</x:v>
      </x:c>
      <x:c r="H479" s="145" t="n">
        <x:v>0.1229290599144761</x:v>
      </x:c>
      <x:c r="I479" s="136" t="str">
        <x:v>POSITIVE-MODEL-MARGIN</x:v>
      </x:c>
      <x:c r="J479" s="136" t="str">
        <x:v>V0.7-CONTROLLED-RESEARCH-SCREEN-NOT-DISTRIBUTION</x:v>
      </x:c>
    </x:row>
    <x:row r="480" ht="22" customHeight="1">
      <x:c r="A480" s="137" t="str">
        <x:v>SCR-0475</x:v>
      </x:c>
      <x:c r="B480" s="142" t="n">
        <x:v>5.871794871794871e-7</x:v>
      </x:c>
      <x:c r="C480" s="142" t="n">
        <x:v>0.00976923076923077</x:v>
      </x:c>
      <x:c r="D480" s="160" t="n">
        <x:v>81</x:v>
      </x:c>
      <x:c r="E480" s="162" t="n">
        <x:v>7277.522537311936</x:v>
      </x:c>
      <x:c r="F480" s="162" t="n">
        <x:v>7277</x:v>
      </x:c>
      <x:c r="G480" s="144" t="n">
        <x:v>0.02262332326549698</x:v>
      </x:c>
      <x:c r="H480" s="144" t="n">
        <x:v>0.1244487728982999</x:v>
      </x:c>
      <x:c r="I480" s="137" t="str">
        <x:v>POSITIVE-MODEL-MARGIN</x:v>
      </x:c>
      <x:c r="J480" s="137" t="str">
        <x:v>V0.7-CONTROLLED-RESEARCH-SCREEN-NOT-DISTRIBUTION</x:v>
      </x:c>
    </x:row>
    <x:row r="481" ht="22" customHeight="1">
      <x:c r="A481" s="136" t="str">
        <x:v>SCR-0476</x:v>
      </x:c>
      <x:c r="B481" s="143" t="n">
        <x:v>5.871794871794871e-7</x:v>
      </x:c>
      <x:c r="C481" s="143" t="n">
        <x:v>0.010076923076923077</x:v>
      </x:c>
      <x:c r="D481" s="161" t="n">
        <x:v>81</x:v>
      </x:c>
      <x:c r="E481" s="163" t="n">
        <x:v>5898.384837596463</x:v>
      </x:c>
      <x:c r="F481" s="163" t="n">
        <x:v>5898</x:v>
      </x:c>
      <x:c r="G481" s="145" t="n">
        <x:v>0.02292294840155173</x:v>
      </x:c>
      <x:c r="H481" s="145" t="n">
        <x:v>0.12588799407102252</x:v>
      </x:c>
      <x:c r="I481" s="136" t="str">
        <x:v>POSITIVE-MODEL-MARGIN</x:v>
      </x:c>
      <x:c r="J481" s="136" t="str">
        <x:v>V0.7-CONTROLLED-RESEARCH-SCREEN-NOT-DISTRIBUTION</x:v>
      </x:c>
    </x:row>
    <x:row r="482" ht="22" customHeight="1">
      <x:c r="A482" s="137" t="str">
        <x:v>SCR-0477</x:v>
      </x:c>
      <x:c r="B482" s="142" t="n">
        <x:v>5.871794871794871e-7</x:v>
      </x:c>
      <x:c r="C482" s="142" t="n">
        <x:v>0.010384615384615384</x:v>
      </x:c>
      <x:c r="D482" s="160" t="n">
        <x:v>80</x:v>
      </x:c>
      <x:c r="E482" s="162" t="n">
        <x:v>4532.126951525268</x:v>
      </x:c>
      <x:c r="F482" s="162" t="n">
        <x:v>4532</x:v>
      </x:c>
      <x:c r="G482" s="144" t="n">
        <x:v>0.023156426171333077</x:v>
      </x:c>
      <x:c r="H482" s="144" t="n">
        <x:v>0.12743264535077387</x:v>
      </x:c>
      <x:c r="I482" s="137" t="str">
        <x:v>POSITIVE-MODEL-MARGIN</x:v>
      </x:c>
      <x:c r="J482" s="137" t="str">
        <x:v>V0.7-CONTROLLED-RESEARCH-SCREEN-NOT-DISTRIBUTION</x:v>
      </x:c>
    </x:row>
    <x:row r="483" ht="22" customHeight="1">
      <x:c r="A483" s="136" t="str">
        <x:v>SCR-0478</x:v>
      </x:c>
      <x:c r="B483" s="143" t="n">
        <x:v>5.871794871794871e-7</x:v>
      </x:c>
      <x:c r="C483" s="143" t="n">
        <x:v>0.010692307692307692</x:v>
      </x:c>
      <x:c r="D483" s="161" t="n">
        <x:v>79</x:v>
      </x:c>
      <x:c r="E483" s="163" t="n">
        <x:v>3175.8281959878695</x:v>
      </x:c>
      <x:c r="F483" s="163" t="n">
        <x:v>3175</x:v>
      </x:c>
      <x:c r="G483" s="145" t="n">
        <x:v>0.02339028076321629</x:v>
      </x:c>
      <x:c r="H483" s="145" t="n">
        <x:v>0.12899992660018136</x:v>
      </x:c>
      <x:c r="I483" s="136" t="str">
        <x:v>POSITIVE-MODEL-MARGIN</x:v>
      </x:c>
      <x:c r="J483" s="136" t="str">
        <x:v>V0.7-CONTROLLED-RESEARCH-SCREEN-NOT-DISTRIBUTION</x:v>
      </x:c>
    </x:row>
    <x:row r="484" ht="22" customHeight="1">
      <x:c r="A484" s="137" t="str">
        <x:v>SCR-0479</x:v>
      </x:c>
      <x:c r="B484" s="142" t="n">
        <x:v>5.871794871794871e-7</x:v>
      </x:c>
      <x:c r="C484" s="142" t="n">
        <x:v>0.011</x:v>
      </x:c>
      <x:c r="D484" s="160" t="n">
        <x:v>78</x:v>
      </x:c>
      <x:c r="E484" s="162" t="n">
        <x:v>1840.842536783999</x:v>
      </x:c>
      <x:c r="F484" s="162" t="n">
        <x:v>1840</x:v>
      </x:c>
      <x:c r="G484" s="144" t="n">
        <x:v>0.02362449800992019</x:v>
      </x:c>
      <x:c r="H484" s="144" t="n">
        <x:v>0.13059069890753616</x:v>
      </x:c>
      <x:c r="I484" s="137" t="str">
        <x:v>POSITIVE-MODEL-MARGIN</x:v>
      </x:c>
      <x:c r="J484" s="137" t="str">
        <x:v>V0.7-CONTROLLED-RESEARCH-SCREEN-NOT-DISTRIBUTION</x:v>
      </x:c>
    </x:row>
    <x:row r="485" ht="22" customHeight="1">
      <x:c r="A485" s="136" t="str">
        <x:v>SCR-0480</x:v>
      </x:c>
      <x:c r="B485" s="143" t="n">
        <x:v>5.871794871794871e-7</x:v>
      </x:c>
      <x:c r="C485" s="143" t="n">
        <x:v>0.011307692307692307</x:v>
      </x:c>
      <x:c r="D485" s="161" t="n">
        <x:v>78</x:v>
      </x:c>
      <x:c r="E485" s="163" t="n">
        <x:v>514.5178396160956</x:v>
      </x:c>
      <x:c r="F485" s="163" t="n">
        <x:v>514</x:v>
      </x:c>
      <x:c r="G485" s="145" t="n">
        <x:v>0.023924247308968027</x:v>
      </x:c>
      <x:c r="H485" s="145" t="n">
        <x:v>0.13203875191680375</x:v>
      </x:c>
      <x:c r="I485" s="136" t="str">
        <x:v>POSITIVE-MODEL-MARGIN</x:v>
      </x:c>
      <x:c r="J485" s="136" t="str">
        <x:v>V0.7-CONTROLLED-RESEARCH-SCREEN-NOT-DISTRIBUTION</x:v>
      </x:c>
    </x:row>
    <x:row r="486" ht="22" customHeight="1">
      <x:c r="A486" s="137" t="str">
        <x:v>SCR-0481</x:v>
      </x:c>
      <x:c r="B486" s="142" t="n">
        <x:v>5.871794871794871e-7</x:v>
      </x:c>
      <x:c r="C486" s="142" t="n">
        <x:v>0.011615384615384614</x:v>
      </x:c>
      <x:c r="D486" s="160" t="n">
        <x:v>77</x:v>
      </x:c>
      <x:c r="E486" s="162" t="n">
        <x:v>-797.5403629876636</x:v>
      </x:c>
      <x:c r="F486" s="162" t="n">
        <x:v>0</x:v>
      </x:c>
      <x:c r="G486" s="144" t="n">
        <x:v>0.024158956242380854</x:v>
      </x:c>
      <x:c r="H486" s="144" t="n">
        <x:v>0.13365895290598184</x:v>
      </x:c>
      <x:c r="I486" s="137" t="str">
        <x:v>NONPOSITIVE-MODEL-MARGIN</x:v>
      </x:c>
      <x:c r="J486" s="137" t="str">
        <x:v>V0.7-CONTROLLED-RESEARCH-SCREEN-NOT-DISTRIBUTION</x:v>
      </x:c>
    </x:row>
    <x:row r="487" ht="22" customHeight="1">
      <x:c r="A487" s="136" t="str">
        <x:v>SCR-0482</x:v>
      </x:c>
      <x:c r="B487" s="143" t="n">
        <x:v>5.871794871794871e-7</x:v>
      </x:c>
      <x:c r="C487" s="143" t="n">
        <x:v>0.011923076923076925</x:v>
      </x:c>
      <x:c r="D487" s="161" t="n">
        <x:v>76</x:v>
      </x:c>
      <x:c r="E487" s="163" t="n">
        <x:v>-2097.78008412274</x:v>
      </x:c>
      <x:c r="F487" s="163" t="n">
        <x:v>0</x:v>
      </x:c>
      <x:c r="G487" s="145" t="n">
        <x:v>0.024394101574041652</x:v>
      </x:c>
      <x:c r="H487" s="145" t="n">
        <x:v>0.13530603442577202</x:v>
      </x:c>
      <x:c r="I487" s="136" t="str">
        <x:v>NONPOSITIVE-MODEL-MARGIN</x:v>
      </x:c>
      <x:c r="J487" s="136" t="str">
        <x:v>V0.7-CONTROLLED-RESEARCH-SCREEN-NOT-DISTRIBUTION</x:v>
      </x:c>
    </x:row>
    <x:row r="488" ht="22" customHeight="1">
      <x:c r="A488" s="137" t="str">
        <x:v>SCR-0483</x:v>
      </x:c>
      <x:c r="B488" s="142" t="n">
        <x:v>5.871794871794871e-7</x:v>
      </x:c>
      <x:c r="C488" s="142" t="n">
        <x:v>0.012230769230769233</x:v>
      </x:c>
      <x:c r="D488" s="160" t="n">
        <x:v>1</x:v>
      </x:c>
      <x:c r="E488" s="162" t="n">
        <x:v>-2389.1358238661996</x:v>
      </x:c>
      <x:c r="F488" s="162" t="n">
        <x:v>0</x:v>
      </x:c>
      <x:c r="G488" s="144" t="n">
        <x:v>0.021699021317028826</x:v>
      </x:c>
      <x:c r="H488" s="144" t="n">
        <x:v>0.5</x:v>
      </x:c>
      <x:c r="I488" s="137" t="str">
        <x:v>NONPOSITIVE-MODEL-MARGIN</x:v>
      </x:c>
      <x:c r="J488" s="137" t="str">
        <x:v>V0.7-CONTROLLED-RESEARCH-SCREEN-NOT-DISTRIBUTION</x:v>
      </x:c>
    </x:row>
    <x:row r="489" ht="22" customHeight="1">
      <x:c r="A489" s="136" t="str">
        <x:v>SCR-0484</x:v>
      </x:c>
      <x:c r="B489" s="143" t="n">
        <x:v>5.871794871794871e-7</x:v>
      </x:c>
      <x:c r="C489" s="143" t="n">
        <x:v>0.01253846153846154</x:v>
      </x:c>
      <x:c r="D489" s="161" t="n">
        <x:v>1</x:v>
      </x:c>
      <x:c r="E489" s="163" t="n">
        <x:v>-2408.114497176317</x:v>
      </x:c>
      <x:c r="F489" s="163" t="n">
        <x:v>0</x:v>
      </x:c>
      <x:c r="G489" s="145" t="n">
        <x:v>0.022000741584473228</x:v>
      </x:c>
      <x:c r="H489" s="145" t="n">
        <x:v>0.5</x:v>
      </x:c>
      <x:c r="I489" s="136" t="str">
        <x:v>NONPOSITIVE-MODEL-MARGIN</x:v>
      </x:c>
      <x:c r="J489" s="136" t="str">
        <x:v>V0.7-CONTROLLED-RESEARCH-SCREEN-NOT-DISTRIBUTION</x:v>
      </x:c>
    </x:row>
    <x:row r="490" ht="22" customHeight="1">
      <x:c r="A490" s="137" t="str">
        <x:v>SCR-0485</x:v>
      </x:c>
      <x:c r="B490" s="142" t="n">
        <x:v>5.871794871794871e-7</x:v>
      </x:c>
      <x:c r="C490" s="142" t="n">
        <x:v>0.012846153846153847</x:v>
      </x:c>
      <x:c r="D490" s="160" t="n">
        <x:v>1</x:v>
      </x:c>
      <x:c r="E490" s="162" t="n">
        <x:v>-2427.0318953506526</x:v>
      </x:c>
      <x:c r="F490" s="162" t="n">
        <x:v>0</x:v>
      </x:c>
      <x:c r="G490" s="144" t="n">
        <x:v>0.022302461851917633</x:v>
      </x:c>
      <x:c r="H490" s="144" t="n">
        <x:v>0.5</x:v>
      </x:c>
      <x:c r="I490" s="137" t="str">
        <x:v>NONPOSITIVE-MODEL-MARGIN</x:v>
      </x:c>
      <x:c r="J490" s="137" t="str">
        <x:v>V0.7-CONTROLLED-RESEARCH-SCREEN-NOT-DISTRIBUTION</x:v>
      </x:c>
    </x:row>
    <x:row r="491" ht="22" customHeight="1">
      <x:c r="A491" s="136" t="str">
        <x:v>SCR-0486</x:v>
      </x:c>
      <x:c r="B491" s="143" t="n">
        <x:v>5.871794871794871e-7</x:v>
      </x:c>
      <x:c r="C491" s="143" t="n">
        <x:v>0.013153846153846155</x:v>
      </x:c>
      <x:c r="D491" s="161" t="n">
        <x:v>1</x:v>
      </x:c>
      <x:c r="E491" s="163" t="n">
        <x:v>-2445.888610164559</x:v>
      </x:c>
      <x:c r="F491" s="163" t="n">
        <x:v>0</x:v>
      </x:c>
      <x:c r="G491" s="145" t="n">
        <x:v>0.022604182119362035</x:v>
      </x:c>
      <x:c r="H491" s="145" t="n">
        <x:v>0.5</x:v>
      </x:c>
      <x:c r="I491" s="136" t="str">
        <x:v>NONPOSITIVE-MODEL-MARGIN</x:v>
      </x:c>
      <x:c r="J491" s="136" t="str">
        <x:v>V0.7-CONTROLLED-RESEARCH-SCREEN-NOT-DISTRIBUTION</x:v>
      </x:c>
    </x:row>
    <x:row r="492" ht="22" customHeight="1">
      <x:c r="A492" s="137" t="str">
        <x:v>SCR-0487</x:v>
      </x:c>
      <x:c r="B492" s="142" t="n">
        <x:v>5.871794871794871e-7</x:v>
      </x:c>
      <x:c r="C492" s="142" t="n">
        <x:v>0.013461538461538462</x:v>
      </x:c>
      <x:c r="D492" s="160" t="n">
        <x:v>1</x:v>
      </x:c>
      <x:c r="E492" s="162" t="n">
        <x:v>-2464.685223129346</x:v>
      </x:c>
      <x:c r="F492" s="162" t="n">
        <x:v>0</x:v>
      </x:c>
      <x:c r="G492" s="144" t="n">
        <x:v>0.02290590238680644</x:v>
      </x:c>
      <x:c r="H492" s="144" t="n">
        <x:v>0.5</x:v>
      </x:c>
      <x:c r="I492" s="137" t="str">
        <x:v>NONPOSITIVE-MODEL-MARGIN</x:v>
      </x:c>
      <x:c r="J492" s="137" t="str">
        <x:v>V0.7-CONTROLLED-RESEARCH-SCREEN-NOT-DISTRIBUTION</x:v>
      </x:c>
    </x:row>
    <x:row r="493" ht="22" customHeight="1">
      <x:c r="A493" s="136" t="str">
        <x:v>SCR-0488</x:v>
      </x:c>
      <x:c r="B493" s="143" t="n">
        <x:v>5.871794871794871e-7</x:v>
      </x:c>
      <x:c r="C493" s="143" t="n">
        <x:v>0.01376923076923077</x:v>
      </x:c>
      <x:c r="D493" s="161" t="n">
        <x:v>1</x:v>
      </x:c>
      <x:c r="E493" s="163" t="n">
        <x:v>-2487.162099013032</x:v>
      </x:c>
      <x:c r="F493" s="163" t="n">
        <x:v>0</x:v>
      </x:c>
      <x:c r="G493" s="145" t="n">
        <x:v>0.023207622654250838</x:v>
      </x:c>
      <x:c r="H493" s="145" t="n">
        <x:v>0.5</x:v>
      </x:c>
      <x:c r="I493" s="136" t="str">
        <x:v>NONPOSITIVE-MODEL-MARGIN</x:v>
      </x:c>
      <x:c r="J493" s="136" t="str">
        <x:v>V0.7-CONTROLLED-RESEARCH-SCREEN-NOT-DISTRIBUTION</x:v>
      </x:c>
    </x:row>
    <x:row r="494" ht="22" customHeight="1">
      <x:c r="A494" s="137" t="str">
        <x:v>SCR-0489</x:v>
      </x:c>
      <x:c r="B494" s="142" t="n">
        <x:v>5.871794871794871e-7</x:v>
      </x:c>
      <x:c r="C494" s="142" t="n">
        <x:v>0.014076923076923077</x:v>
      </x:c>
      <x:c r="D494" s="160" t="n">
        <x:v>1</x:v>
      </x:c>
      <x:c r="E494" s="162" t="n">
        <x:v>-2505.8269866414753</x:v>
      </x:c>
      <x:c r="F494" s="162" t="n">
        <x:v>0</x:v>
      </x:c>
      <x:c r="G494" s="144" t="n">
        <x:v>0.02350934292169524</x:v>
      </x:c>
      <x:c r="H494" s="144" t="n">
        <x:v>0.5</x:v>
      </x:c>
      <x:c r="I494" s="137" t="str">
        <x:v>NONPOSITIVE-MODEL-MARGIN</x:v>
      </x:c>
      <x:c r="J494" s="137" t="str">
        <x:v>V0.7-CONTROLLED-RESEARCH-SCREEN-NOT-DISTRIBUTION</x:v>
      </x:c>
    </x:row>
    <x:row r="495" ht="22" customHeight="1">
      <x:c r="A495" s="136" t="str">
        <x:v>SCR-0490</x:v>
      </x:c>
      <x:c r="B495" s="143" t="n">
        <x:v>5.871794871794871e-7</x:v>
      </x:c>
      <x:c r="C495" s="143" t="n">
        <x:v>0.014384615384615385</x:v>
      </x:c>
      <x:c r="D495" s="161" t="n">
        <x:v>1</x:v>
      </x:c>
      <x:c r="E495" s="163" t="n">
        <x:v>-2524.433621897759</x:v>
      </x:c>
      <x:c r="F495" s="163" t="n">
        <x:v>0</x:v>
      </x:c>
      <x:c r="G495" s="145" t="n">
        <x:v>0.023811063189139642</x:v>
      </x:c>
      <x:c r="H495" s="145" t="n">
        <x:v>0.5</x:v>
      </x:c>
      <x:c r="I495" s="136" t="str">
        <x:v>NONPOSITIVE-MODEL-MARGIN</x:v>
      </x:c>
      <x:c r="J495" s="136" t="str">
        <x:v>V0.7-CONTROLLED-RESEARCH-SCREEN-NOT-DISTRIBUTION</x:v>
      </x:c>
    </x:row>
    <x:row r="496" ht="22" customHeight="1">
      <x:c r="A496" s="137" t="str">
        <x:v>SCR-0491</x:v>
      </x:c>
      <x:c r="B496" s="142" t="n">
        <x:v>5.871794871794871e-7</x:v>
      </x:c>
      <x:c r="C496" s="142" t="n">
        <x:v>0.014692307692307692</x:v>
      </x:c>
      <x:c r="D496" s="160" t="n">
        <x:v>1</x:v>
      </x:c>
      <x:c r="E496" s="162" t="n">
        <x:v>-2542.9825429879</x:v>
      </x:c>
      <x:c r="F496" s="162" t="n">
        <x:v>0</x:v>
      </x:c>
      <x:c r="G496" s="144" t="n">
        <x:v>0.024112783456584044</x:v>
      </x:c>
      <x:c r="H496" s="144" t="n">
        <x:v>0.5</x:v>
      </x:c>
      <x:c r="I496" s="137" t="str">
        <x:v>NONPOSITIVE-MODEL-MARGIN</x:v>
      </x:c>
      <x:c r="J496" s="137" t="str">
        <x:v>V0.7-CONTROLLED-RESEARCH-SCREEN-NOT-DISTRIBUTION</x:v>
      </x:c>
    </x:row>
    <x:row r="497" ht="22" customHeight="1">
      <x:c r="A497" s="136" t="str">
        <x:v>SCR-0492</x:v>
      </x:c>
      <x:c r="B497" s="143" t="n">
        <x:v>5.871794871794871e-7</x:v>
      </x:c>
      <x:c r="C497" s="143" t="n">
        <x:v>0.015</x:v>
      </x:c>
      <x:c r="D497" s="161" t="n">
        <x:v>1</x:v>
      </x:c>
      <x:c r="E497" s="163" t="n">
        <x:v>-2561.4742789594034</x:v>
      </x:c>
      <x:c r="F497" s="163" t="n">
        <x:v>0</x:v>
      </x:c>
      <x:c r="G497" s="145" t="n">
        <x:v>0.02441450372402845</x:v>
      </x:c>
      <x:c r="H497" s="145" t="n">
        <x:v>0.5</x:v>
      </x:c>
      <x:c r="I497" s="136" t="str">
        <x:v>NONPOSITIVE-MODEL-MARGIN</x:v>
      </x:c>
      <x:c r="J497" s="136" t="str">
        <x:v>V0.7-CONTROLLED-RESEARCH-SCREEN-NOT-DISTRIBUTION</x:v>
      </x:c>
    </x:row>
    <x:row r="498" ht="22" customHeight="1">
      <x:c r="A498" s="137" t="str">
        <x:v>SCR-0493</x:v>
      </x:c>
      <x:c r="B498" s="142" t="n">
        <x:v>6.358974358974359e-7</x:v>
      </x:c>
      <x:c r="C498" s="142" t="n">
        <x:v>0.003</x:v>
      </x:c>
      <x:c r="D498" s="160" t="n">
        <x:v>91</x:v>
      </x:c>
      <x:c r="E498" s="162" t="n">
        <x:v>34970.2521611845</x:v>
      </x:c>
      <x:c r="F498" s="162" t="n">
        <x:v>34970</x:v>
      </x:c>
      <x:c r="G498" s="144" t="n">
        <x:v>0.017784194824447385</x:v>
      </x:c>
      <x:c r="H498" s="144" t="n">
        <x:v>0.0988642047323103</x:v>
      </x:c>
      <x:c r="I498" s="137" t="str">
        <x:v>POSITIVE-MODEL-MARGIN</x:v>
      </x:c>
      <x:c r="J498" s="137" t="str">
        <x:v>V0.7-CONTROLLED-RESEARCH-SCREEN-NOT-DISTRIBUTION</x:v>
      </x:c>
    </x:row>
    <x:row r="499" ht="22" customHeight="1">
      <x:c r="A499" s="136" t="str">
        <x:v>SCR-0494</x:v>
      </x:c>
      <x:c r="B499" s="143" t="n">
        <x:v>6.358974358974359e-7</x:v>
      </x:c>
      <x:c r="C499" s="143" t="n">
        <x:v>0.003307692307692308</x:v>
      </x:c>
      <x:c r="D499" s="161" t="n">
        <x:v>90</x:v>
      </x:c>
      <x:c r="E499" s="163" t="n">
        <x:v>33359.25089158794</x:v>
      </x:c>
      <x:c r="F499" s="163" t="n">
        <x:v>33359</x:v>
      </x:c>
      <x:c r="G499" s="145" t="n">
        <x:v>0.018007381434643678</x:v>
      </x:c>
      <x:c r="H499" s="145" t="n">
        <x:v>0.10019311510718065</x:v>
      </x:c>
      <x:c r="I499" s="136" t="str">
        <x:v>POSITIVE-MODEL-MARGIN</x:v>
      </x:c>
      <x:c r="J499" s="136" t="str">
        <x:v>V0.7-CONTROLLED-RESEARCH-SCREEN-NOT-DISTRIBUTION</x:v>
      </x:c>
    </x:row>
    <x:row r="500" ht="22" customHeight="1">
      <x:c r="A500" s="137" t="str">
        <x:v>SCR-0495</x:v>
      </x:c>
      <x:c r="B500" s="142" t="n">
        <x:v>6.358974358974359e-7</x:v>
      </x:c>
      <x:c r="C500" s="142" t="n">
        <x:v>0.0036153846153846154</x:v>
      </x:c>
      <x:c r="D500" s="160" t="n">
        <x:v>90</x:v>
      </x:c>
      <x:c r="E500" s="162" t="n">
        <x:v>31764.65620647789</x:v>
      </x:c>
      <x:c r="F500" s="162" t="n">
        <x:v>31764</x:v>
      </x:c>
      <x:c r="G500" s="144" t="n">
        <x:v>0.018305968230459557</x:v>
      </x:c>
      <x:c r="H500" s="144" t="n">
        <x:v>0.10163201558609311</x:v>
      </x:c>
      <x:c r="I500" s="137" t="str">
        <x:v>POSITIVE-MODEL-MARGIN</x:v>
      </x:c>
      <x:c r="J500" s="137" t="str">
        <x:v>V0.7-CONTROLLED-RESEARCH-SCREEN-NOT-DISTRIBUTION</x:v>
      </x:c>
    </x:row>
    <x:row r="501" ht="22" customHeight="1">
      <x:c r="A501" s="136" t="str">
        <x:v>SCR-0496</x:v>
      </x:c>
      <x:c r="B501" s="143" t="n">
        <x:v>6.358974358974359e-7</x:v>
      </x:c>
      <x:c r="C501" s="143" t="n">
        <x:v>0.003923076923076923</x:v>
      </x:c>
      <x:c r="D501" s="161" t="n">
        <x:v>89</x:v>
      </x:c>
      <x:c r="E501" s="163" t="n">
        <x:v>30181.233096919237</x:v>
      </x:c>
      <x:c r="F501" s="163" t="n">
        <x:v>30181</x:v>
      </x:c>
      <x:c r="G501" s="145" t="n">
        <x:v>0.018529643998867276</x:v>
      </x:c>
      <x:c r="H501" s="145" t="n">
        <x:v>0.1029774946561497</x:v>
      </x:c>
      <x:c r="I501" s="136" t="str">
        <x:v>POSITIVE-MODEL-MARGIN</x:v>
      </x:c>
      <x:c r="J501" s="136" t="str">
        <x:v>V0.7-CONTROLLED-RESEARCH-SCREEN-NOT-DISTRIBUTION</x:v>
      </x:c>
    </x:row>
    <x:row r="502" ht="22" customHeight="1">
      <x:c r="A502" s="137" t="str">
        <x:v>SCR-0497</x:v>
      </x:c>
      <x:c r="B502" s="142" t="n">
        <x:v>6.358974358974359e-7</x:v>
      </x:c>
      <x:c r="C502" s="142" t="n">
        <x:v>0.004230769230769231</x:v>
      </x:c>
      <x:c r="D502" s="160" t="n">
        <x:v>89</x:v>
      </x:c>
      <x:c r="E502" s="162" t="n">
        <x:v>28613.161970279605</x:v>
      </x:c>
      <x:c r="F502" s="162" t="n">
        <x:v>28613</x:v>
      </x:c>
      <x:c r="G502" s="144" t="n">
        <x:v>0.018828277258397485</x:v>
      </x:c>
      <x:c r="H502" s="144" t="n">
        <x:v>0.10441658520767991</x:v>
      </x:c>
      <x:c r="I502" s="137" t="str">
        <x:v>POSITIVE-MODEL-MARGIN</x:v>
      </x:c>
      <x:c r="J502" s="137" t="str">
        <x:v>V0.7-CONTROLLED-RESEARCH-SCREEN-NOT-DISTRIBUTION</x:v>
      </x:c>
    </x:row>
    <x:row r="503" ht="22" customHeight="1">
      <x:c r="A503" s="136" t="str">
        <x:v>SCR-0498</x:v>
      </x:c>
      <x:c r="B503" s="143" t="n">
        <x:v>6.358974358974359e-7</x:v>
      </x:c>
      <x:c r="C503" s="143" t="n">
        <x:v>0.004538461538461538</x:v>
      </x:c>
      <x:c r="D503" s="161" t="n">
        <x:v>88</x:v>
      </x:c>
      <x:c r="E503" s="163" t="n">
        <x:v>27055.885256805912</x:v>
      </x:c>
      <x:c r="F503" s="163" t="n">
        <x:v>27055</x:v>
      </x:c>
      <x:c r="G503" s="145" t="n">
        <x:v>0.01905231749356939</x:v>
      </x:c>
      <x:c r="H503" s="145" t="n">
        <x:v>0.1057782443190578</x:v>
      </x:c>
      <x:c r="I503" s="136" t="str">
        <x:v>POSITIVE-MODEL-MARGIN</x:v>
      </x:c>
      <x:c r="J503" s="136" t="str">
        <x:v>V0.7-CONTROLLED-RESEARCH-SCREEN-NOT-DISTRIBUTION</x:v>
      </x:c>
    </x:row>
    <x:row r="504" ht="22" customHeight="1">
      <x:c r="A504" s="137" t="str">
        <x:v>SCR-0499</x:v>
      </x:c>
      <x:c r="B504" s="142" t="n">
        <x:v>6.358974358974359e-7</x:v>
      </x:c>
      <x:c r="C504" s="142" t="n">
        <x:v>0.004846153846153846</x:v>
      </x:c>
      <x:c r="D504" s="160" t="n">
        <x:v>88</x:v>
      </x:c>
      <x:c r="E504" s="162" t="n">
        <x:v>25513.78075330488</x:v>
      </x:c>
      <x:c r="F504" s="162" t="n">
        <x:v>25513</x:v>
      </x:c>
      <x:c r="G504" s="144" t="n">
        <x:v>0.01935099707703693</x:v>
      </x:c>
      <x:c r="H504" s="144" t="n">
        <x:v>0.10721771980016749</x:v>
      </x:c>
      <x:c r="I504" s="137" t="str">
        <x:v>POSITIVE-MODEL-MARGIN</x:v>
      </x:c>
      <x:c r="J504" s="137" t="str">
        <x:v>V0.7-CONTROLLED-RESEARCH-SCREEN-NOT-DISTRIBUTION</x:v>
      </x:c>
    </x:row>
    <x:row r="505" ht="22" customHeight="1">
      <x:c r="A505" s="136" t="str">
        <x:v>SCR-0500</x:v>
      </x:c>
      <x:c r="B505" s="143" t="n">
        <x:v>6.358974358974359e-7</x:v>
      </x:c>
      <x:c r="C505" s="143" t="n">
        <x:v>0.005</x:v>
      </x:c>
      <x:c r="D505" s="161" t="n">
        <x:v>87</x:v>
      </x:c>
      <x:c r="E505" s="163" t="n">
        <x:v>24749.461298649305</x:v>
      </x:c>
      <x:c r="F505" s="163" t="n">
        <x:v>24749</x:v>
      </x:c>
      <x:c r="G505" s="145" t="n">
        <x:v>0.01942613482537968</x:v>
      </x:c>
      <x:c r="H505" s="145" t="n">
        <x:v>0.10787668700630262</x:v>
      </x:c>
      <x:c r="I505" s="136" t="str">
        <x:v>POSITIVE-MODEL-MARGIN</x:v>
      </x:c>
      <x:c r="J505" s="136" t="str">
        <x:v>V0.7-CONTROLLED-RESEARCH-SCREEN-NOT-DISTRIBUTION</x:v>
      </x:c>
    </x:row>
    <x:row r="506" ht="22" customHeight="1">
      <x:c r="A506" s="137" t="str">
        <x:v>SCR-0501</x:v>
      </x:c>
      <x:c r="B506" s="142" t="n">
        <x:v>6.358974358974359e-7</x:v>
      </x:c>
      <x:c r="C506" s="142" t="n">
        <x:v>0.005153846153846154</x:v>
      </x:c>
      <x:c r="D506" s="160" t="n">
        <x:v>87</x:v>
      </x:c>
      <x:c r="E506" s="162" t="n">
        <x:v>23987.68492426044</x:v>
      </x:c>
      <x:c r="F506" s="162" t="n">
        <x:v>23987</x:v>
      </x:c>
      <x:c r="G506" s="144" t="n">
        <x:v>0.01957549767916122</x:v>
      </x:c>
      <x:c r="H506" s="144" t="n">
        <x:v>0.10859737007496437</x:v>
      </x:c>
      <x:c r="I506" s="137" t="str">
        <x:v>POSITIVE-MODEL-MARGIN</x:v>
      </x:c>
      <x:c r="J506" s="137" t="str">
        <x:v>V0.7-CONTROLLED-RESEARCH-SCREEN-NOT-DISTRIBUTION</x:v>
      </x:c>
    </x:row>
    <x:row r="507" ht="22" customHeight="1">
      <x:c r="A507" s="136" t="str">
        <x:v>SCR-0502</x:v>
      </x:c>
      <x:c r="B507" s="143" t="n">
        <x:v>6.358974358974359e-7</x:v>
      </x:c>
      <x:c r="C507" s="143" t="n">
        <x:v>0.005461538461538462</x:v>
      </x:c>
      <x:c r="D507" s="161" t="n">
        <x:v>86</x:v>
      </x:c>
      <x:c r="E507" s="163" t="n">
        <x:v>22471.395214382606</x:v>
      </x:c>
      <x:c r="F507" s="163" t="n">
        <x:v>22471</x:v>
      </x:c>
      <x:c r="G507" s="145" t="n">
        <x:v>0.019800287835478415</x:v>
      </x:c>
      <x:c r="H507" s="145" t="n">
        <x:v>0.10999217003335632</x:v>
      </x:c>
      <x:c r="I507" s="136" t="str">
        <x:v>POSITIVE-MODEL-MARGIN</x:v>
      </x:c>
      <x:c r="J507" s="136" t="str">
        <x:v>V0.7-CONTROLLED-RESEARCH-SCREEN-NOT-DISTRIBUTION</x:v>
      </x:c>
    </x:row>
    <x:row r="508" ht="22" customHeight="1">
      <x:c r="A508" s="137" t="str">
        <x:v>SCR-0503</x:v>
      </x:c>
      <x:c r="B508" s="142" t="n">
        <x:v>6.358974358974359e-7</x:v>
      </x:c>
      <x:c r="C508" s="142" t="n">
        <x:v>0.0057692307692307696</x:v>
      </x:c>
      <x:c r="D508" s="160" t="n">
        <x:v>86</x:v>
      </x:c>
      <x:c r="E508" s="162" t="n">
        <x:v>20966.860060850802</x:v>
      </x:c>
      <x:c r="F508" s="162" t="n">
        <x:v>20966</x:v>
      </x:c>
      <x:c r="G508" s="144" t="n">
        <x:v>0.0200990595443769</x:v>
      </x:c>
      <x:c r="H508" s="144" t="n">
        <x:v>0.11143469444793791</x:v>
      </x:c>
      <x:c r="I508" s="137" t="str">
        <x:v>POSITIVE-MODEL-MARGIN</x:v>
      </x:c>
      <x:c r="J508" s="137" t="str">
        <x:v>V0.7-CONTROLLED-RESEARCH-SCREEN-NOT-DISTRIBUTION</x:v>
      </x:c>
    </x:row>
    <x:row r="509" ht="22" customHeight="1">
      <x:c r="A509" s="136" t="str">
        <x:v>SCR-0504</x:v>
      </x:c>
      <x:c r="B509" s="143" t="n">
        <x:v>6.358974358974359e-7</x:v>
      </x:c>
      <x:c r="C509" s="143" t="n">
        <x:v>0.006076923076923077</x:v>
      </x:c>
      <x:c r="D509" s="161" t="n">
        <x:v>85</x:v>
      </x:c>
      <x:c r="E509" s="163" t="n">
        <x:v>19477.780358313456</x:v>
      </x:c>
      <x:c r="F509" s="163" t="n">
        <x:v>19477</x:v>
      </x:c>
      <x:c r="G509" s="145" t="n">
        <x:v>0.02032428093919638</x:v>
      </x:c>
      <x:c r="H509" s="145" t="n">
        <x:v>0.11284887835173463</x:v>
      </x:c>
      <x:c r="I509" s="136" t="str">
        <x:v>POSITIVE-MODEL-MARGIN</x:v>
      </x:c>
      <x:c r="J509" s="136" t="str">
        <x:v>V0.7-CONTROLLED-RESEARCH-SCREEN-NOT-DISTRIBUTION</x:v>
      </x:c>
    </x:row>
    <x:row r="510" ht="22" customHeight="1">
      <x:c r="A510" s="137" t="str">
        <x:v>SCR-0505</x:v>
      </x:c>
      <x:c r="B510" s="142" t="n">
        <x:v>6.358974358974359e-7</x:v>
      </x:c>
      <x:c r="C510" s="142" t="n">
        <x:v>0.006384615384615384</x:v>
      </x:c>
      <x:c r="D510" s="160" t="n">
        <x:v>85</x:v>
      </x:c>
      <x:c r="E510" s="162" t="n">
        <x:v>18001.885822088796</x:v>
      </x:c>
      <x:c r="F510" s="162" t="n">
        <x:v>18001</x:v>
      </x:c>
      <x:c r="G510" s="144" t="n">
        <x:v>0.020623098466757864</x:v>
      </x:c>
      <x:c r="H510" s="144" t="n">
        <x:v>0.11429231236055495</x:v>
      </x:c>
      <x:c r="I510" s="137" t="str">
        <x:v>POSITIVE-MODEL-MARGIN</x:v>
      </x:c>
      <x:c r="J510" s="137" t="str">
        <x:v>V0.7-CONTROLLED-RESEARCH-SCREEN-NOT-DISTRIBUTION</x:v>
      </x:c>
    </x:row>
    <x:row r="511" ht="22" customHeight="1">
      <x:c r="A511" s="136" t="str">
        <x:v>SCR-0506</x:v>
      </x:c>
      <x:c r="B511" s="143" t="n">
        <x:v>6.358974358974359e-7</x:v>
      </x:c>
      <x:c r="C511" s="143" t="n">
        <x:v>0.006692307692307693</x:v>
      </x:c>
      <x:c r="D511" s="161" t="n">
        <x:v>84</x:v>
      </x:c>
      <x:c r="E511" s="163" t="n">
        <x:v>16536.063534145524</x:v>
      </x:c>
      <x:c r="F511" s="163" t="n">
        <x:v>16536</x:v>
      </x:c>
      <x:c r="G511" s="145" t="n">
        <x:v>0.0208487362116662</x:v>
      </x:c>
      <x:c r="H511" s="145" t="n">
        <x:v>0.1157267122535932</x:v>
      </x:c>
      <x:c r="I511" s="136" t="str">
        <x:v>POSITIVE-MODEL-MARGIN</x:v>
      </x:c>
      <x:c r="J511" s="136" t="str">
        <x:v>V0.7-CONTROLLED-RESEARCH-SCREEN-NOT-DISTRIBUTION</x:v>
      </x:c>
    </x:row>
    <x:row r="512" ht="22" customHeight="1">
      <x:c r="A512" s="137" t="str">
        <x:v>SCR-0507</x:v>
      </x:c>
      <x:c r="B512" s="142" t="n">
        <x:v>6.358974358974359e-7</x:v>
      </x:c>
      <x:c r="C512" s="142" t="n">
        <x:v>0.007</x:v>
      </x:c>
      <x:c r="D512" s="160" t="n">
        <x:v>83</x:v>
      </x:c>
      <x:c r="E512" s="162" t="n">
        <x:v>15086.806994943636</x:v>
      </x:c>
      <x:c r="F512" s="162" t="n">
        <x:v>15086</x:v>
      </x:c>
      <x:c r="G512" s="144" t="n">
        <x:v>0.021074840089033844</x:v>
      </x:c>
      <x:c r="H512" s="144" t="n">
        <x:v>0.11718051142634321</x:v>
      </x:c>
      <x:c r="I512" s="137" t="str">
        <x:v>POSITIVE-MODEL-MARGIN</x:v>
      </x:c>
      <x:c r="J512" s="137" t="str">
        <x:v>V0.7-CONTROLLED-RESEARCH-SCREEN-NOT-DISTRIBUTION</x:v>
      </x:c>
    </x:row>
    <x:row r="513" ht="22" customHeight="1">
      <x:c r="A513" s="136" t="str">
        <x:v>SCR-0508</x:v>
      </x:c>
      <x:c r="B513" s="143" t="n">
        <x:v>6.358974358974359e-7</x:v>
      </x:c>
      <x:c r="C513" s="143" t="n">
        <x:v>0.007307692307692308</x:v>
      </x:c>
      <x:c r="D513" s="161" t="n">
        <x:v>82</x:v>
      </x:c>
      <x:c r="E513" s="163" t="n">
        <x:v>13649.127762933236</x:v>
      </x:c>
      <x:c r="F513" s="163" t="n">
        <x:v>13649</x:v>
      </x:c>
      <x:c r="G513" s="145" t="n">
        <x:v>0.021301285062583657</x:v>
      </x:c>
      <x:c r="H513" s="145" t="n">
        <x:v>0.11865317490479237</x:v>
      </x:c>
      <x:c r="I513" s="136" t="str">
        <x:v>POSITIVE-MODEL-MARGIN</x:v>
      </x:c>
      <x:c r="J513" s="136" t="str">
        <x:v>V0.7-CONTROLLED-RESEARCH-SCREEN-NOT-DISTRIBUTION</x:v>
      </x:c>
    </x:row>
    <x:row r="514" ht="22" customHeight="1">
      <x:c r="A514" s="137" t="str">
        <x:v>SCR-0509</x:v>
      </x:c>
      <x:c r="B514" s="142" t="n">
        <x:v>6.358974358974359e-7</x:v>
      </x:c>
      <x:c r="C514" s="142" t="n">
        <x:v>0.007615384615384616</x:v>
      </x:c>
      <x:c r="D514" s="160" t="n">
        <x:v>82</x:v>
      </x:c>
      <x:c r="E514" s="162" t="n">
        <x:v>12224.903386005859</x:v>
      </x:c>
      <x:c r="F514" s="162" t="n">
        <x:v>12224</x:v>
      </x:c>
      <x:c r="G514" s="144" t="n">
        <x:v>0.02160023890007086</x:v>
      </x:c>
      <x:c r="H514" s="144" t="n">
        <x:v>0.12010362022793065</x:v>
      </x:c>
      <x:c r="I514" s="137" t="str">
        <x:v>POSITIVE-MODEL-MARGIN</x:v>
      </x:c>
      <x:c r="J514" s="137" t="str">
        <x:v>V0.7-CONTROLLED-RESEARCH-SCREEN-NOT-DISTRIBUTION</x:v>
      </x:c>
    </x:row>
    <x:row r="515" ht="22" customHeight="1">
      <x:c r="A515" s="136" t="str">
        <x:v>SCR-0510</x:v>
      </x:c>
      <x:c r="B515" s="143" t="n">
        <x:v>6.358974358974359e-7</x:v>
      </x:c>
      <x:c r="C515" s="143" t="n">
        <x:v>0.007923076923076923</x:v>
      </x:c>
      <x:c r="D515" s="161" t="n">
        <x:v>81</x:v>
      </x:c>
      <x:c r="E515" s="163" t="n">
        <x:v>10815.7873178552</x:v>
      </x:c>
      <x:c r="F515" s="163" t="n">
        <x:v>10815</x:v>
      </x:c>
      <x:c r="G515" s="145" t="n">
        <x:v>0.021827165415200803</x:v>
      </x:c>
      <x:c r="H515" s="145" t="n">
        <x:v>0.12160020828999163</x:v>
      </x:c>
      <x:c r="I515" s="136" t="str">
        <x:v>POSITIVE-MODEL-MARGIN</x:v>
      </x:c>
      <x:c r="J515" s="136" t="str">
        <x:v>V0.7-CONTROLLED-RESEARCH-SCREEN-NOT-DISTRIBUTION</x:v>
      </x:c>
    </x:row>
    <x:row r="516" ht="22" customHeight="1">
      <x:c r="A516" s="137" t="str">
        <x:v>SCR-0511</x:v>
      </x:c>
      <x:c r="B516" s="142" t="n">
        <x:v>6.358974358974359e-7</x:v>
      </x:c>
      <x:c r="C516" s="142" t="n">
        <x:v>0.00823076923076923</x:v>
      </x:c>
      <x:c r="D516" s="160" t="n">
        <x:v>80</x:v>
      </x:c>
      <x:c r="E516" s="162" t="n">
        <x:v>9416.019132826947</x:v>
      </x:c>
      <x:c r="F516" s="162" t="n">
        <x:v>9416</x:v>
      </x:c>
      <x:c r="G516" s="144" t="n">
        <x:v>0.022054513251315154</x:v>
      </x:c>
      <x:c r="H516" s="144" t="n">
        <x:v>0.12311845614244296</x:v>
      </x:c>
      <x:c r="I516" s="137" t="str">
        <x:v>POSITIVE-MODEL-MARGIN</x:v>
      </x:c>
      <x:c r="J516" s="137" t="str">
        <x:v>V0.7-CONTROLLED-RESEARCH-SCREEN-NOT-DISTRIBUTION</x:v>
      </x:c>
    </x:row>
    <x:row r="517" ht="22" customHeight="1">
      <x:c r="A517" s="136" t="str">
        <x:v>SCR-0512</x:v>
      </x:c>
      <x:c r="B517" s="143" t="n">
        <x:v>6.358974358974359e-7</x:v>
      </x:c>
      <x:c r="C517" s="143" t="n">
        <x:v>0.00853846153846154</x:v>
      </x:c>
      <x:c r="D517" s="161" t="n">
        <x:v>80</x:v>
      </x:c>
      <x:c r="E517" s="163" t="n">
        <x:v>8030.76044418036</x:v>
      </x:c>
      <x:c r="F517" s="163" t="n">
        <x:v>8030</x:v>
      </x:c>
      <x:c r="G517" s="145" t="n">
        <x:v>0.022353556958040238</x:v>
      </x:c>
      <x:c r="H517" s="145" t="n">
        <x:v>0.12457383168033967</x:v>
      </x:c>
      <x:c r="I517" s="136" t="str">
        <x:v>POSITIVE-MODEL-MARGIN</x:v>
      </x:c>
      <x:c r="J517" s="136" t="str">
        <x:v>V0.7-CONTROLLED-RESEARCH-SCREEN-NOT-DISTRIBUTION</x:v>
      </x:c>
    </x:row>
    <x:row r="518" ht="22" customHeight="1">
      <x:c r="A518" s="137" t="str">
        <x:v>SCR-0513</x:v>
      </x:c>
      <x:c r="B518" s="142" t="n">
        <x:v>6.358974358974359e-7</x:v>
      </x:c>
      <x:c r="C518" s="142" t="n">
        <x:v>0.008846153846153847</x:v>
      </x:c>
      <x:c r="D518" s="160" t="n">
        <x:v>79</x:v>
      </x:c>
      <x:c r="E518" s="162" t="n">
        <x:v>6659.684483880472</x:v>
      </x:c>
      <x:c r="F518" s="162" t="n">
        <x:v>6659</x:v>
      </x:c>
      <x:c r="G518" s="144" t="n">
        <x:v>0.02258135561542942</x:v>
      </x:c>
      <x:c r="H518" s="144" t="n">
        <x:v>0.12611802207301145</x:v>
      </x:c>
      <x:c r="I518" s="137" t="str">
        <x:v>POSITIVE-MODEL-MARGIN</x:v>
      </x:c>
      <x:c r="J518" s="137" t="str">
        <x:v>V0.7-CONTROLLED-RESEARCH-SCREEN-NOT-DISTRIBUTION</x:v>
      </x:c>
    </x:row>
    <x:row r="519" ht="22" customHeight="1">
      <x:c r="A519" s="136" t="str">
        <x:v>SCR-0514</x:v>
      </x:c>
      <x:c r="B519" s="143" t="n">
        <x:v>6.358974358974359e-7</x:v>
      </x:c>
      <x:c r="C519" s="143" t="n">
        <x:v>0.009153846153846155</x:v>
      </x:c>
      <x:c r="D519" s="161" t="n">
        <x:v>78</x:v>
      </x:c>
      <x:c r="E519" s="163" t="n">
        <x:v>5302.060345741997</x:v>
      </x:c>
      <x:c r="F519" s="163" t="n">
        <x:v>5302</x:v>
      </x:c>
      <x:c r="G519" s="145" t="n">
        <x:v>0.02280954495221162</x:v>
      </x:c>
      <x:c r="H519" s="145" t="n">
        <x:v>0.12768567796765895</x:v>
      </x:c>
      <x:c r="I519" s="136" t="str">
        <x:v>POSITIVE-MODEL-MARGIN</x:v>
      </x:c>
      <x:c r="J519" s="136" t="str">
        <x:v>V0.7-CONTROLLED-RESEARCH-SCREEN-NOT-DISTRIBUTION</x:v>
      </x:c>
    </x:row>
    <x:row r="520" ht="22" customHeight="1">
      <x:c r="A520" s="137" t="str">
        <x:v>SCR-0515</x:v>
      </x:c>
      <x:c r="B520" s="142" t="n">
        <x:v>6.358974358974359e-7</x:v>
      </x:c>
      <x:c r="C520" s="142" t="n">
        <x:v>0.009461538461538462</x:v>
      </x:c>
      <x:c r="D520" s="160" t="n">
        <x:v>78</x:v>
      </x:c>
      <x:c r="E520" s="162" t="n">
        <x:v>3955.066455659344</x:v>
      </x:c>
      <x:c r="F520" s="162" t="n">
        <x:v>3955</x:v>
      </x:c>
      <x:c r="G520" s="144" t="n">
        <x:v>0.02310867773563526</x:v>
      </x:c>
      <x:c r="H520" s="144" t="n">
        <x:v>0.1291466708398669</x:v>
      </x:c>
      <x:c r="I520" s="137" t="str">
        <x:v>POSITIVE-MODEL-MARGIN</x:v>
      </x:c>
      <x:c r="J520" s="137" t="str">
        <x:v>V0.7-CONTROLLED-RESEARCH-SCREEN-NOT-DISTRIBUTION</x:v>
      </x:c>
    </x:row>
    <x:row r="521" ht="22" customHeight="1">
      <x:c r="A521" s="136" t="str">
        <x:v>SCR-0516</x:v>
      </x:c>
      <x:c r="B521" s="143" t="n">
        <x:v>6.358974358974359e-7</x:v>
      </x:c>
      <x:c r="C521" s="143" t="n">
        <x:v>0.00976923076923077</x:v>
      </x:c>
      <x:c r="D521" s="161" t="n">
        <x:v>76</x:v>
      </x:c>
      <x:c r="E521" s="163" t="n">
        <x:v>2620.519519212834</x:v>
      </x:c>
      <x:c r="F521" s="163" t="n">
        <x:v>2620</x:v>
      </x:c>
      <x:c r="G521" s="145" t="n">
        <x:v>0.02326736650926283</x:v>
      </x:c>
      <x:c r="H521" s="145" t="n">
        <x:v>0.13089907582223304</x:v>
      </x:c>
      <x:c r="I521" s="136" t="str">
        <x:v>POSITIVE-MODEL-MARGIN</x:v>
      </x:c>
      <x:c r="J521" s="136" t="str">
        <x:v>V0.7-CONTROLLED-RESEARCH-SCREEN-NOT-DISTRIBUTION</x:v>
      </x:c>
    </x:row>
    <x:row r="522" ht="22" customHeight="1">
      <x:c r="A522" s="137" t="str">
        <x:v>SCR-0517</x:v>
      </x:c>
      <x:c r="B522" s="142" t="n">
        <x:v>6.358974358974359e-7</x:v>
      </x:c>
      <x:c r="C522" s="142" t="n">
        <x:v>0.010076923076923077</x:v>
      </x:c>
      <x:c r="D522" s="160" t="n">
        <x:v>76</x:v>
      </x:c>
      <x:c r="E522" s="162" t="n">
        <x:v>1303.9440433173768</x:v>
      </x:c>
      <x:c r="F522" s="162" t="n">
        <x:v>1303</x:v>
      </x:c>
      <x:c r="G522" s="144" t="n">
        <x:v>0.02356658744218715</x:v>
      </x:c>
      <x:c r="H522" s="144" t="n">
        <x:v>0.13236788914999897</x:v>
      </x:c>
      <x:c r="I522" s="137" t="str">
        <x:v>POSITIVE-MODEL-MARGIN</x:v>
      </x:c>
      <x:c r="J522" s="137" t="str">
        <x:v>V0.7-CONTROLLED-RESEARCH-SCREEN-NOT-DISTRIBUTION</x:v>
      </x:c>
    </x:row>
    <x:row r="523" ht="22" customHeight="1">
      <x:c r="A523" s="136" t="str">
        <x:v>SCR-0518</x:v>
      </x:c>
      <x:c r="B523" s="143" t="n">
        <x:v>6.358974358974359e-7</x:v>
      </x:c>
      <x:c r="C523" s="143" t="n">
        <x:v>0.010384615384615384</x:v>
      </x:c>
      <x:c r="D523" s="161" t="n">
        <x:v>75</x:v>
      </x:c>
      <x:c r="E523" s="163" t="n">
        <x:v>-4.375800511679586</x:v>
      </x:c>
      <x:c r="F523" s="163" t="n">
        <x:v>0</x:v>
      </x:c>
      <x:c r="G523" s="145" t="n">
        <x:v>0.0237962327958677</x:v>
      </x:c>
      <x:c r="H523" s="145" t="n">
        <x:v>0.13401991544259242</x:v>
      </x:c>
      <x:c r="I523" s="136" t="str">
        <x:v>NONPOSITIVE-MODEL-MARGIN</x:v>
      </x:c>
      <x:c r="J523" s="136" t="str">
        <x:v>V0.7-CONTROLLED-RESEARCH-SCREEN-NOT-DISTRIBUTION</x:v>
      </x:c>
    </x:row>
    <x:row r="524" ht="22" customHeight="1">
      <x:c r="A524" s="137" t="str">
        <x:v>SCR-0519</x:v>
      </x:c>
      <x:c r="B524" s="142" t="n">
        <x:v>6.358974358974359e-7</x:v>
      </x:c>
      <x:c r="C524" s="142" t="n">
        <x:v>0.010692307692307692</x:v>
      </x:c>
      <x:c r="D524" s="160" t="n">
        <x:v>74</x:v>
      </x:c>
      <x:c r="E524" s="162" t="n">
        <x:v>-1297.2283553852867</x:v>
      </x:c>
      <x:c r="F524" s="162" t="n">
        <x:v>0</x:v>
      </x:c>
      <x:c r="G524" s="144" t="n">
        <x:v>0.024026317829080164</x:v>
      </x:c>
      <x:c r="H524" s="144" t="n">
        <x:v>0.13570107304017087</x:v>
      </x:c>
      <x:c r="I524" s="137" t="str">
        <x:v>NONPOSITIVE-MODEL-MARGIN</x:v>
      </x:c>
      <x:c r="J524" s="137" t="str">
        <x:v>V0.7-CONTROLLED-RESEARCH-SCREEN-NOT-DISTRIBUTION</x:v>
      </x:c>
    </x:row>
    <x:row r="525" ht="22" customHeight="1">
      <x:c r="A525" s="136" t="str">
        <x:v>SCR-0520</x:v>
      </x:c>
      <x:c r="B525" s="143" t="n">
        <x:v>6.358974358974359e-7</x:v>
      </x:c>
      <x:c r="C525" s="143" t="n">
        <x:v>0.011</x:v>
      </x:c>
      <x:c r="D525" s="161" t="n">
        <x:v>1</x:v>
      </x:c>
      <x:c r="E525" s="163" t="n">
        <x:v>-2361.209886966556</x:v>
      </x:c>
      <x:c r="F525" s="163" t="n">
        <x:v>0</x:v>
      </x:c>
      <x:c r="G525" s="145" t="n">
        <x:v>0.02122423955290566</x:v>
      </x:c>
      <x:c r="H525" s="145" t="n">
        <x:v>0.5</x:v>
      </x:c>
      <x:c r="I525" s="136" t="str">
        <x:v>NONPOSITIVE-MODEL-MARGIN</x:v>
      </x:c>
      <x:c r="J525" s="136" t="str">
        <x:v>V0.7-CONTROLLED-RESEARCH-SCREEN-NOT-DISTRIBUTION</x:v>
      </x:c>
    </x:row>
    <x:row r="526" ht="22" customHeight="1">
      <x:c r="A526" s="137" t="str">
        <x:v>SCR-0521</x:v>
      </x:c>
      <x:c r="B526" s="142" t="n">
        <x:v>6.358974358974359e-7</x:v>
      </x:c>
      <x:c r="C526" s="142" t="n">
        <x:v>0.011307692307692307</x:v>
      </x:c>
      <x:c r="D526" s="160" t="n">
        <x:v>1</x:v>
      </x:c>
      <x:c r="E526" s="162" t="n">
        <x:v>-2380.2908013086167</x:v>
      </x:c>
      <x:c r="F526" s="162" t="n">
        <x:v>0</x:v>
      </x:c>
      <x:c r="G526" s="144" t="n">
        <x:v>0.02152549919270529</x:v>
      </x:c>
      <x:c r="H526" s="144" t="n">
        <x:v>0.5</x:v>
      </x:c>
      <x:c r="I526" s="137" t="str">
        <x:v>NONPOSITIVE-MODEL-MARGIN</x:v>
      </x:c>
      <x:c r="J526" s="137" t="str">
        <x:v>V0.7-CONTROLLED-RESEARCH-SCREEN-NOT-DISTRIBUTION</x:v>
      </x:c>
    </x:row>
    <x:row r="527" ht="22" customHeight="1">
      <x:c r="A527" s="136" t="str">
        <x:v>SCR-0522</x:v>
      </x:c>
      <x:c r="B527" s="143" t="n">
        <x:v>6.358974358974359e-7</x:v>
      </x:c>
      <x:c r="C527" s="143" t="n">
        <x:v>0.011615384615384614</x:v>
      </x:c>
      <x:c r="D527" s="161" t="n">
        <x:v>1</x:v>
      </x:c>
      <x:c r="E527" s="163" t="n">
        <x:v>-2399.3095203081893</x:v>
      </x:c>
      <x:c r="F527" s="163" t="n">
        <x:v>0</x:v>
      </x:c>
      <x:c r="G527" s="145" t="n">
        <x:v>0.021826758832504914</x:v>
      </x:c>
      <x:c r="H527" s="145" t="n">
        <x:v>0.5</x:v>
      </x:c>
      <x:c r="I527" s="136" t="str">
        <x:v>NONPOSITIVE-MODEL-MARGIN</x:v>
      </x:c>
      <x:c r="J527" s="136" t="str">
        <x:v>V0.7-CONTROLLED-RESEARCH-SCREEN-NOT-DISTRIBUTION</x:v>
      </x:c>
    </x:row>
    <x:row r="528" ht="22" customHeight="1">
      <x:c r="A528" s="137" t="str">
        <x:v>SCR-0523</x:v>
      </x:c>
      <x:c r="B528" s="142" t="n">
        <x:v>6.358974358974359e-7</x:v>
      </x:c>
      <x:c r="C528" s="142" t="n">
        <x:v>0.011923076923076925</x:v>
      </x:c>
      <x:c r="D528" s="160" t="n">
        <x:v>1</x:v>
      </x:c>
      <x:c r="E528" s="162" t="n">
        <x:v>-2418.2666521334254</x:v>
      </x:c>
      <x:c r="F528" s="162" t="n">
        <x:v>0</x:v>
      </x:c>
      <x:c r="G528" s="144" t="n">
        <x:v>0.022128018472304552</x:v>
      </x:c>
      <x:c r="H528" s="144" t="n">
        <x:v>0.5</x:v>
      </x:c>
      <x:c r="I528" s="137" t="str">
        <x:v>NONPOSITIVE-MODEL-MARGIN</x:v>
      </x:c>
      <x:c r="J528" s="137" t="str">
        <x:v>V0.7-CONTROLLED-RESEARCH-SCREEN-NOT-DISTRIBUTION</x:v>
      </x:c>
    </x:row>
    <x:row r="529" ht="22" customHeight="1">
      <x:c r="A529" s="136" t="str">
        <x:v>SCR-0524</x:v>
      </x:c>
      <x:c r="B529" s="143" t="n">
        <x:v>6.358974358974359e-7</x:v>
      </x:c>
      <x:c r="C529" s="143" t="n">
        <x:v>0.012230769230769233</x:v>
      </x:c>
      <x:c r="D529" s="161" t="n">
        <x:v>1</x:v>
      </x:c>
      <x:c r="E529" s="163" t="n">
        <x:v>-2437.162794374774</x:v>
      </x:c>
      <x:c r="F529" s="163" t="n">
        <x:v>0</x:v>
      </x:c>
      <x:c r="G529" s="145" t="n">
        <x:v>0.022429278112104174</x:v>
      </x:c>
      <x:c r="H529" s="145" t="n">
        <x:v>0.5</x:v>
      </x:c>
      <x:c r="I529" s="136" t="str">
        <x:v>NONPOSITIVE-MODEL-MARGIN</x:v>
      </x:c>
      <x:c r="J529" s="136" t="str">
        <x:v>V0.7-CONTROLLED-RESEARCH-SCREEN-NOT-DISTRIBUTION</x:v>
      </x:c>
    </x:row>
    <x:row r="530" ht="22" customHeight="1">
      <x:c r="A530" s="137" t="str">
        <x:v>SCR-0525</x:v>
      </x:c>
      <x:c r="B530" s="142" t="n">
        <x:v>6.358974358974359e-7</x:v>
      </x:c>
      <x:c r="C530" s="142" t="n">
        <x:v>0.01253846153846154</x:v>
      </x:c>
      <x:c r="D530" s="160" t="n">
        <x:v>1</x:v>
      </x:c>
      <x:c r="E530" s="162" t="n">
        <x:v>-2455.998534232625</x:v>
      </x:c>
      <x:c r="F530" s="162" t="n">
        <x:v>0</x:v>
      </x:c>
      <x:c r="G530" s="144" t="n">
        <x:v>0.02273053775190381</x:v>
      </x:c>
      <x:c r="H530" s="144" t="n">
        <x:v>0.5</x:v>
      </x:c>
      <x:c r="I530" s="137" t="str">
        <x:v>NONPOSITIVE-MODEL-MARGIN</x:v>
      </x:c>
      <x:c r="J530" s="137" t="str">
        <x:v>V0.7-CONTROLLED-RESEARCH-SCREEN-NOT-DISTRIBUTION</x:v>
      </x:c>
    </x:row>
    <x:row r="531" ht="22" customHeight="1">
      <x:c r="A531" s="136" t="str">
        <x:v>SCR-0526</x:v>
      </x:c>
      <x:c r="B531" s="143" t="n">
        <x:v>6.358974358974359e-7</x:v>
      </x:c>
      <x:c r="C531" s="143" t="n">
        <x:v>0.012846153846153847</x:v>
      </x:c>
      <x:c r="D531" s="161" t="n">
        <x:v>1</x:v>
      </x:c>
      <x:c r="E531" s="163" t="n">
        <x:v>-2478.522027056536</x:v>
      </x:c>
      <x:c r="F531" s="163" t="n">
        <x:v>0</x:v>
      </x:c>
      <x:c r="G531" s="145" t="n">
        <x:v>0.023031797391703437</x:v>
      </x:c>
      <x:c r="H531" s="145" t="n">
        <x:v>0.5</x:v>
      </x:c>
      <x:c r="I531" s="136" t="str">
        <x:v>NONPOSITIVE-MODEL-MARGIN</x:v>
      </x:c>
      <x:c r="J531" s="136" t="str">
        <x:v>V0.7-CONTROLLED-RESEARCH-SCREEN-NOT-DISTRIBUTION</x:v>
      </x:c>
    </x:row>
    <x:row r="532" ht="22" customHeight="1">
      <x:c r="A532" s="137" t="str">
        <x:v>SCR-0527</x:v>
      </x:c>
      <x:c r="B532" s="142" t="n">
        <x:v>6.358974358974359e-7</x:v>
      </x:c>
      <x:c r="C532" s="142" t="n">
        <x:v>0.013153846153846155</x:v>
      </x:c>
      <x:c r="D532" s="160" t="n">
        <x:v>1</x:v>
      </x:c>
      <x:c r="E532" s="162" t="n">
        <x:v>-2497.2253793759055</x:v>
      </x:c>
      <x:c r="F532" s="162" t="n">
        <x:v>0</x:v>
      </x:c>
      <x:c r="G532" s="144" t="n">
        <x:v>0.023333057031503065</x:v>
      </x:c>
      <x:c r="H532" s="144" t="n">
        <x:v>0.5</x:v>
      </x:c>
      <x:c r="I532" s="137" t="str">
        <x:v>NONPOSITIVE-MODEL-MARGIN</x:v>
      </x:c>
      <x:c r="J532" s="137" t="str">
        <x:v>V0.7-CONTROLLED-RESEARCH-SCREEN-NOT-DISTRIBUTION</x:v>
      </x:c>
    </x:row>
    <x:row r="533" ht="22" customHeight="1">
      <x:c r="A533" s="136" t="str">
        <x:v>SCR-0528</x:v>
      </x:c>
      <x:c r="B533" s="143" t="n">
        <x:v>6.358974358974359e-7</x:v>
      </x:c>
      <x:c r="C533" s="143" t="n">
        <x:v>0.013461538461538462</x:v>
      </x:c>
      <x:c r="D533" s="161" t="n">
        <x:v>1</x:v>
      </x:c>
      <x:c r="E533" s="163" t="n">
        <x:v>-2515.8701971009627</x:v>
      </x:c>
      <x:c r="F533" s="163" t="n">
        <x:v>0</x:v>
      </x:c>
      <x:c r="G533" s="145" t="n">
        <x:v>0.02363431667130269</x:v>
      </x:c>
      <x:c r="H533" s="145" t="n">
        <x:v>0.5</x:v>
      </x:c>
      <x:c r="I533" s="136" t="str">
        <x:v>NONPOSITIVE-MODEL-MARGIN</x:v>
      </x:c>
      <x:c r="J533" s="136" t="str">
        <x:v>V0.7-CONTROLLED-RESEARCH-SCREEN-NOT-DISTRIBUTION</x:v>
      </x:c>
    </x:row>
    <x:row r="534" ht="22" customHeight="1">
      <x:c r="A534" s="137" t="str">
        <x:v>SCR-0529</x:v>
      </x:c>
      <x:c r="B534" s="142" t="n">
        <x:v>6.358974358974359e-7</x:v>
      </x:c>
      <x:c r="C534" s="142" t="n">
        <x:v>0.01376923076923077</x:v>
      </x:c>
      <x:c r="D534" s="160" t="n">
        <x:v>1</x:v>
      </x:c>
      <x:c r="E534" s="162" t="n">
        <x:v>-2534.4570235615693</x:v>
      </x:c>
      <x:c r="F534" s="162" t="n">
        <x:v>0</x:v>
      </x:c>
      <x:c r="G534" s="144" t="n">
        <x:v>0.02393557631110231</x:v>
      </x:c>
      <x:c r="H534" s="144" t="n">
        <x:v>0.5</x:v>
      </x:c>
      <x:c r="I534" s="137" t="str">
        <x:v>NONPOSITIVE-MODEL-MARGIN</x:v>
      </x:c>
      <x:c r="J534" s="137" t="str">
        <x:v>V0.7-CONTROLLED-RESEARCH-SCREEN-NOT-DISTRIBUTION</x:v>
      </x:c>
    </x:row>
    <x:row r="535" ht="22" customHeight="1">
      <x:c r="A535" s="136" t="str">
        <x:v>SCR-0530</x:v>
      </x:c>
      <x:c r="B535" s="143" t="n">
        <x:v>6.358974358974359e-7</x:v>
      </x:c>
      <x:c r="C535" s="143" t="n">
        <x:v>0.014076923076923077</x:v>
      </x:c>
      <x:c r="D535" s="161" t="n">
        <x:v>1</x:v>
      </x:c>
      <x:c r="E535" s="163" t="n">
        <x:v>-2552.9863928146665</x:v>
      </x:c>
      <x:c r="F535" s="163" t="n">
        <x:v>0</x:v>
      </x:c>
      <x:c r="G535" s="145" t="n">
        <x:v>0.024236835950901946</x:v>
      </x:c>
      <x:c r="H535" s="145" t="n">
        <x:v>0.5</x:v>
      </x:c>
      <x:c r="I535" s="136" t="str">
        <x:v>NONPOSITIVE-MODEL-MARGIN</x:v>
      </x:c>
      <x:c r="J535" s="136" t="str">
        <x:v>V0.7-CONTROLLED-RESEARCH-SCREEN-NOT-DISTRIBUTION</x:v>
      </x:c>
    </x:row>
    <x:row r="536" ht="22" customHeight="1">
      <x:c r="A536" s="137" t="str">
        <x:v>SCR-0531</x:v>
      </x:c>
      <x:c r="B536" s="142" t="n">
        <x:v>6.358974358974359e-7</x:v>
      </x:c>
      <x:c r="C536" s="142" t="n">
        <x:v>0.014384615384615385</x:v>
      </x:c>
      <x:c r="D536" s="160" t="n">
        <x:v>1</x:v>
      </x:c>
      <x:c r="E536" s="162" t="n">
        <x:v>-2571.4588298272506</x:v>
      </x:c>
      <x:c r="F536" s="162" t="n">
        <x:v>0</x:v>
      </x:c>
      <x:c r="G536" s="144" t="n">
        <x:v>0.024538095590701574</x:v>
      </x:c>
      <x:c r="H536" s="144" t="n">
        <x:v>0.5</x:v>
      </x:c>
      <x:c r="I536" s="137" t="str">
        <x:v>NONPOSITIVE-MODEL-MARGIN</x:v>
      </x:c>
      <x:c r="J536" s="137" t="str">
        <x:v>V0.7-CONTROLLED-RESEARCH-SCREEN-NOT-DISTRIBUTION</x:v>
      </x:c>
    </x:row>
    <x:row r="537" ht="22" customHeight="1">
      <x:c r="A537" s="136" t="str">
        <x:v>SCR-0532</x:v>
      </x:c>
      <x:c r="B537" s="143" t="n">
        <x:v>6.358974358974359e-7</x:v>
      </x:c>
      <x:c r="C537" s="143" t="n">
        <x:v>0.014692307692307692</x:v>
      </x:c>
      <x:c r="D537" s="161" t="n">
        <x:v>1</x:v>
      </x:c>
      <x:c r="E537" s="163" t="n">
        <x:v>-2589.874850658183</x:v>
      </x:c>
      <x:c r="F537" s="163" t="n">
        <x:v>0</x:v>
      </x:c>
      <x:c r="G537" s="145" t="n">
        <x:v>0.0248393552305012</x:v>
      </x:c>
      <x:c r="H537" s="145" t="n">
        <x:v>0.5</x:v>
      </x:c>
      <x:c r="I537" s="136" t="str">
        <x:v>NONPOSITIVE-MODEL-MARGIN</x:v>
      </x:c>
      <x:c r="J537" s="136" t="str">
        <x:v>V0.7-CONTROLLED-RESEARCH-SCREEN-NOT-DISTRIBUTION</x:v>
      </x:c>
    </x:row>
    <x:row r="538" ht="22" customHeight="1">
      <x:c r="A538" s="137" t="str">
        <x:v>SCR-0533</x:v>
      </x:c>
      <x:c r="B538" s="142" t="n">
        <x:v>6.358974358974359e-7</x:v>
      </x:c>
      <x:c r="C538" s="142" t="n">
        <x:v>0.015</x:v>
      </x:c>
      <x:c r="D538" s="160" t="n">
        <x:v>1</x:v>
      </x:c>
      <x:c r="E538" s="162" t="n">
        <x:v>-2608.2349626385458</x:v>
      </x:c>
      <x:c r="F538" s="162" t="n">
        <x:v>0</x:v>
      </x:c>
      <x:c r="G538" s="144" t="n">
        <x:v>0.02514061487030083</x:v>
      </x:c>
      <x:c r="H538" s="144" t="n">
        <x:v>0.5</x:v>
      </x:c>
      <x:c r="I538" s="137" t="str">
        <x:v>NONPOSITIVE-MODEL-MARGIN</x:v>
      </x:c>
      <x:c r="J538" s="137" t="str">
        <x:v>V0.7-CONTROLLED-RESEARCH-SCREEN-NOT-DISTRIBUTION</x:v>
      </x:c>
    </x:row>
    <x:row r="539" ht="22" customHeight="1">
      <x:c r="A539" s="136" t="str">
        <x:v>SCR-0534</x:v>
      </x:c>
      <x:c r="B539" s="143" t="n">
        <x:v>6.846153846153846e-7</x:v>
      </x:c>
      <x:c r="C539" s="143" t="n">
        <x:v>0.003</x:v>
      </x:c>
      <x:c r="D539" s="161" t="n">
        <x:v>87</x:v>
      </x:c>
      <x:c r="E539" s="163" t="n">
        <x:v>29330.20733491246</x:v>
      </x:c>
      <x:c r="F539" s="163" t="n">
        <x:v>29330</x:v>
      </x:c>
      <x:c r="G539" s="145" t="n">
        <x:v>0.018523603305196142</x:v>
      </x:c>
      <x:c r="H539" s="145" t="n">
        <x:v>0.10432473466648821</x:v>
      </x:c>
      <x:c r="I539" s="136" t="str">
        <x:v>POSITIVE-MODEL-MARGIN</x:v>
      </x:c>
      <x:c r="J539" s="136" t="str">
        <x:v>V0.7-CONTROLLED-RESEARCH-SCREEN-NOT-DISTRIBUTION</x:v>
      </x:c>
    </x:row>
    <x:row r="540" ht="22" customHeight="1">
      <x:c r="A540" s="137" t="str">
        <x:v>SCR-0535</x:v>
      </x:c>
      <x:c r="B540" s="142" t="n">
        <x:v>6.846153846153846e-7</x:v>
      </x:c>
      <x:c r="C540" s="142" t="n">
        <x:v>0.003307692307692308</x:v>
      </x:c>
      <x:c r="D540" s="160" t="n">
        <x:v>86</x:v>
      </x:c>
      <x:c r="E540" s="162" t="n">
        <x:v>27780.732874275363</x:v>
      </x:c>
      <x:c r="F540" s="162" t="n">
        <x:v>27780</x:v>
      </x:c>
      <x:c r="G540" s="144" t="n">
        <x:v>0.01874208210405295</x:v>
      </x:c>
      <x:c r="H540" s="144" t="n">
        <x:v>0.10569303708799607</x:v>
      </x:c>
      <x:c r="I540" s="137" t="str">
        <x:v>POSITIVE-MODEL-MARGIN</x:v>
      </x:c>
      <x:c r="J540" s="137" t="str">
        <x:v>V0.7-CONTROLLED-RESEARCH-SCREEN-NOT-DISTRIBUTION</x:v>
      </x:c>
    </x:row>
    <x:row r="541" ht="22" customHeight="1">
      <x:c r="A541" s="136" t="str">
        <x:v>SCR-0536</x:v>
      </x:c>
      <x:c r="B541" s="143" t="n">
        <x:v>6.846153846153846e-7</x:v>
      </x:c>
      <x:c r="C541" s="143" t="n">
        <x:v>0.0036153846153846154</x:v>
      </x:c>
      <x:c r="D541" s="161" t="n">
        <x:v>86</x:v>
      </x:c>
      <x:c r="E541" s="163" t="n">
        <x:v>26246.228847449678</x:v>
      </x:c>
      <x:c r="F541" s="163" t="n">
        <x:v>26246</x:v>
      </x:c>
      <x:c r="G541" s="145" t="n">
        <x:v>0.019040213794150277</x:v>
      </x:c>
      <x:c r="H541" s="145" t="n">
        <x:v>0.10715025837408707</x:v>
      </x:c>
      <x:c r="I541" s="136" t="str">
        <x:v>POSITIVE-MODEL-MARGIN</x:v>
      </x:c>
      <x:c r="J541" s="136" t="str">
        <x:v>V0.7-CONTROLLED-RESEARCH-SCREEN-NOT-DISTRIBUTION</x:v>
      </x:c>
    </x:row>
    <x:row r="542" ht="22" customHeight="1">
      <x:c r="A542" s="137" t="str">
        <x:v>SCR-0537</x:v>
      </x:c>
      <x:c r="B542" s="142" t="n">
        <x:v>6.846153846153846e-7</x:v>
      </x:c>
      <x:c r="C542" s="142" t="n">
        <x:v>0.003923076923076923</x:v>
      </x:c>
      <x:c r="D542" s="160" t="n">
        <x:v>85</x:v>
      </x:c>
      <x:c r="E542" s="162" t="n">
        <x:v>24724.0034142197</x:v>
      </x:c>
      <x:c r="F542" s="162" t="n">
        <x:v>24724</x:v>
      </x:c>
      <x:c r="G542" s="144" t="n">
        <x:v>0.01925915443999324</x:v>
      </x:c>
      <x:c r="H542" s="144" t="n">
        <x:v>0.1085378060790759</x:v>
      </x:c>
      <x:c r="I542" s="137" t="str">
        <x:v>POSITIVE-MODEL-MARGIN</x:v>
      </x:c>
      <x:c r="J542" s="137" t="str">
        <x:v>V0.7-CONTROLLED-RESEARCH-SCREEN-NOT-DISTRIBUTION</x:v>
      </x:c>
    </x:row>
    <x:row r="543" ht="22" customHeight="1">
      <x:c r="A543" s="136" t="str">
        <x:v>SCR-0538</x:v>
      </x:c>
      <x:c r="B543" s="143" t="n">
        <x:v>6.846153846153846e-7</x:v>
      </x:c>
      <x:c r="C543" s="143" t="n">
        <x:v>0.004230769230769231</x:v>
      </x:c>
      <x:c r="D543" s="161" t="n">
        <x:v>84</x:v>
      </x:c>
      <x:c r="E543" s="163" t="n">
        <x:v>23216.676929154968</x:v>
      </x:c>
      <x:c r="F543" s="163" t="n">
        <x:v>23216</x:v>
      </x:c>
      <x:c r="G543" s="145" t="n">
        <x:v>0.019478492000351563</x:v>
      </x:c>
      <x:c r="H543" s="145" t="n">
        <x:v>0.10994266320223592</x:v>
      </x:c>
      <x:c r="I543" s="136" t="str">
        <x:v>POSITIVE-MODEL-MARGIN</x:v>
      </x:c>
      <x:c r="J543" s="136" t="str">
        <x:v>V0.7-CONTROLLED-RESEARCH-SCREEN-NOT-DISTRIBUTION</x:v>
      </x:c>
    </x:row>
    <x:row r="544" ht="22" customHeight="1">
      <x:c r="A544" s="137" t="str">
        <x:v>SCR-0539</x:v>
      </x:c>
      <x:c r="B544" s="142" t="n">
        <x:v>6.846153846153846e-7</x:v>
      </x:c>
      <x:c r="C544" s="142" t="n">
        <x:v>0.004538461538461538</x:v>
      </x:c>
      <x:c r="D544" s="160" t="n">
        <x:v>84</x:v>
      </x:c>
      <x:c r="E544" s="162" t="n">
        <x:v>21720.045687036098</x:v>
      </x:c>
      <x:c r="F544" s="162" t="n">
        <x:v>21720</x:v>
      </x:c>
      <x:c r="G544" s="144" t="n">
        <x:v>0.019776721741894755</x:v>
      </x:c>
      <x:c r="H544" s="144" t="n">
        <x:v>0.1114034438851733</x:v>
      </x:c>
      <x:c r="I544" s="137" t="str">
        <x:v>POSITIVE-MODEL-MARGIN</x:v>
      </x:c>
      <x:c r="J544" s="137" t="str">
        <x:v>V0.7-CONTROLLED-RESEARCH-SCREEN-NOT-DISTRIBUTION</x:v>
      </x:c>
    </x:row>
    <x:row r="545" ht="22" customHeight="1">
      <x:c r="A545" s="136" t="str">
        <x:v>SCR-0540</x:v>
      </x:c>
      <x:c r="B545" s="143" t="n">
        <x:v>6.846153846153846e-7</x:v>
      </x:c>
      <x:c r="C545" s="143" t="n">
        <x:v>0.004846153846153846</x:v>
      </x:c>
      <x:c r="D545" s="161" t="n">
        <x:v>83</x:v>
      </x:c>
      <x:c r="E545" s="163" t="n">
        <x:v>20237.28770955702</x:v>
      </x:c>
      <x:c r="F545" s="163" t="n">
        <x:v>20237</x:v>
      </x:c>
      <x:c r="G545" s="145" t="n">
        <x:v>0.019996607930185126</x:v>
      </x:c>
      <x:c r="H545" s="145" t="n">
        <x:v>0.11283032145452163</x:v>
      </x:c>
      <x:c r="I545" s="136" t="str">
        <x:v>POSITIVE-MODEL-MARGIN</x:v>
      </x:c>
      <x:c r="J545" s="136" t="str">
        <x:v>V0.7-CONTROLLED-RESEARCH-SCREEN-NOT-DISTRIBUTION</x:v>
      </x:c>
    </x:row>
    <x:row r="546" ht="22" customHeight="1">
      <x:c r="A546" s="137" t="str">
        <x:v>SCR-0541</x:v>
      </x:c>
      <x:c r="B546" s="142" t="n">
        <x:v>6.846153846153846e-7</x:v>
      </x:c>
      <x:c r="C546" s="142" t="n">
        <x:v>0.005</x:v>
      </x:c>
      <x:c r="D546" s="160" t="n">
        <x:v>83</x:v>
      </x:c>
      <x:c r="E546" s="162" t="n">
        <x:v>19502.3078383359</x:v>
      </x:c>
      <x:c r="F546" s="162" t="n">
        <x:v>19502</x:v>
      </x:c>
      <x:c r="G546" s="144" t="n">
        <x:v>0.020145747142625684</x:v>
      </x:c>
      <x:c r="H546" s="144" t="n">
        <x:v>0.1135615065246286</x:v>
      </x:c>
      <x:c r="I546" s="137" t="str">
        <x:v>POSITIVE-MODEL-MARGIN</x:v>
      </x:c>
      <x:c r="J546" s="137" t="str">
        <x:v>V0.7-CONTROLLED-RESEARCH-SCREEN-NOT-DISTRIBUTION</x:v>
      </x:c>
    </x:row>
    <x:row r="547" ht="22" customHeight="1">
      <x:c r="A547" s="136" t="str">
        <x:v>SCR-0542</x:v>
      </x:c>
      <x:c r="B547" s="143" t="n">
        <x:v>6.846153846153846e-7</x:v>
      </x:c>
      <x:c r="C547" s="143" t="n">
        <x:v>0.005153846153846154</x:v>
      </x:c>
      <x:c r="D547" s="161" t="n">
        <x:v>82</x:v>
      </x:c>
      <x:c r="E547" s="163" t="n">
        <x:v>18765.76813612921</x:v>
      </x:c>
      <x:c r="F547" s="163" t="n">
        <x:v>18765</x:v>
      </x:c>
      <x:c r="G547" s="145" t="n">
        <x:v>0.020216859209587688</x:v>
      </x:c>
      <x:c r="H547" s="145" t="n">
        <x:v>0.11427586903809597</x:v>
      </x:c>
      <x:c r="I547" s="136" t="str">
        <x:v>POSITIVE-MODEL-MARGIN</x:v>
      </x:c>
      <x:c r="J547" s="136" t="str">
        <x:v>V0.7-CONTROLLED-RESEARCH-SCREEN-NOT-DISTRIBUTION</x:v>
      </x:c>
    </x:row>
    <x:row r="548" ht="22" customHeight="1">
      <x:c r="A548" s="137" t="str">
        <x:v>SCR-0543</x:v>
      </x:c>
      <x:c r="B548" s="142" t="n">
        <x:v>6.846153846153846e-7</x:v>
      </x:c>
      <x:c r="C548" s="142" t="n">
        <x:v>0.005461538461538462</x:v>
      </x:c>
      <x:c r="D548" s="160" t="n">
        <x:v>82</x:v>
      </x:c>
      <x:c r="E548" s="162" t="n">
        <x:v>17310.055311058564</x:v>
      </x:c>
      <x:c r="F548" s="162" t="n">
        <x:v>17310</x:v>
      </x:c>
      <x:c r="G548" s="144" t="n">
        <x:v>0.0205151861513371</x:v>
      </x:c>
      <x:c r="H548" s="144" t="n">
        <x:v>0.11574086624181795</x:v>
      </x:c>
      <x:c r="I548" s="137" t="str">
        <x:v>POSITIVE-MODEL-MARGIN</x:v>
      </x:c>
      <x:c r="J548" s="137" t="str">
        <x:v>V0.7-CONTROLLED-RESEARCH-SCREEN-NOT-DISTRIBUTION</x:v>
      </x:c>
    </x:row>
    <x:row r="549" ht="22" customHeight="1">
      <x:c r="A549" s="136" t="str">
        <x:v>SCR-0544</x:v>
      </x:c>
      <x:c r="B549" s="143" t="n">
        <x:v>6.846153846153846e-7</x:v>
      </x:c>
      <x:c r="C549" s="143" t="n">
        <x:v>0.0057692307692307696</x:v>
      </x:c>
      <x:c r="D549" s="161" t="n">
        <x:v>81</x:v>
      </x:c>
      <x:c r="E549" s="163" t="n">
        <x:v>15863.216495764489</x:v>
      </x:c>
      <x:c r="F549" s="163" t="n">
        <x:v>15863</x:v>
      </x:c>
      <x:c r="G549" s="145" t="n">
        <x:v>0.020735953567604954</x:v>
      </x:c>
      <x:c r="H549" s="145" t="n">
        <x:v>0.11721020836212975</x:v>
      </x:c>
      <x:c r="I549" s="136" t="str">
        <x:v>POSITIVE-MODEL-MARGIN</x:v>
      </x:c>
      <x:c r="J549" s="136" t="str">
        <x:v>V0.7-CONTROLLED-RESEARCH-SCREEN-NOT-DISTRIBUTION</x:v>
      </x:c>
    </x:row>
    <x:row r="550" ht="22" customHeight="1">
      <x:c r="A550" s="137" t="str">
        <x:v>SCR-0545</x:v>
      </x:c>
      <x:c r="B550" s="142" t="n">
        <x:v>6.846153846153846e-7</x:v>
      </x:c>
      <x:c r="C550" s="142" t="n">
        <x:v>0.006076923076923077</x:v>
      </x:c>
      <x:c r="D550" s="160" t="n">
        <x:v>80</x:v>
      </x:c>
      <x:c r="E550" s="162" t="n">
        <x:v>14433.009692662938</x:v>
      </x:c>
      <x:c r="F550" s="162" t="n">
        <x:v>14433</x:v>
      </x:c>
      <x:c r="G550" s="144" t="n">
        <x:v>0.020957172518934565</x:v>
      </x:c>
      <x:c r="H550" s="144" t="n">
        <x:v>0.11870102770885094</x:v>
      </x:c>
      <x:c r="I550" s="137" t="str">
        <x:v>POSITIVE-MODEL-MARGIN</x:v>
      </x:c>
      <x:c r="J550" s="137" t="str">
        <x:v>V0.7-CONTROLLED-RESEARCH-SCREEN-NOT-DISTRIBUTION</x:v>
      </x:c>
    </x:row>
    <x:row r="551" ht="22" customHeight="1">
      <x:c r="A551" s="136" t="str">
        <x:v>SCR-0546</x:v>
      </x:c>
      <x:c r="B551" s="143" t="n">
        <x:v>6.846153846153846e-7</x:v>
      </x:c>
      <x:c r="C551" s="143" t="n">
        <x:v>0.006384615384615384</x:v>
      </x:c>
      <x:c r="D551" s="161" t="n">
        <x:v>80</x:v>
      </x:c>
      <x:c r="E551" s="163" t="n">
        <x:v>13017.380649114555</x:v>
      </x:c>
      <x:c r="F551" s="163" t="n">
        <x:v>13017</x:v>
      </x:c>
      <x:c r="G551" s="145" t="n">
        <x:v>0.021255595811863103</x:v>
      </x:c>
      <x:c r="H551" s="145" t="n">
        <x:v>0.12017092356055925</x:v>
      </x:c>
      <x:c r="I551" s="136" t="str">
        <x:v>POSITIVE-MODEL-MARGIN</x:v>
      </x:c>
      <x:c r="J551" s="136" t="str">
        <x:v>V0.7-CONTROLLED-RESEARCH-SCREEN-NOT-DISTRIBUTION</x:v>
      </x:c>
    </x:row>
    <x:row r="552" ht="22" customHeight="1">
      <x:c r="A552" s="137" t="str">
        <x:v>SCR-0547</x:v>
      </x:c>
      <x:c r="B552" s="142" t="n">
        <x:v>6.846153846153846e-7</x:v>
      </x:c>
      <x:c r="C552" s="142" t="n">
        <x:v>0.006692307692307693</x:v>
      </x:c>
      <x:c r="D552" s="160" t="n">
        <x:v>80</x:v>
      </x:c>
      <x:c r="E552" s="162" t="n">
        <x:v>11609.96103236522</x:v>
      </x:c>
      <x:c r="F552" s="162" t="n">
        <x:v>11609</x:v>
      </x:c>
      <x:c r="G552" s="144" t="n">
        <x:v>0.021554019104791645</x:v>
      </x:c>
      <x:c r="H552" s="144" t="n">
        <x:v>0.12163917809761884</x:v>
      </x:c>
      <x:c r="I552" s="137" t="str">
        <x:v>POSITIVE-MODEL-MARGIN</x:v>
      </x:c>
      <x:c r="J552" s="137" t="str">
        <x:v>V0.7-CONTROLLED-RESEARCH-SCREEN-NOT-DISTRIBUTION</x:v>
      </x:c>
    </x:row>
    <x:row r="553" ht="22" customHeight="1">
      <x:c r="A553" s="136" t="str">
        <x:v>SCR-0548</x:v>
      </x:c>
      <x:c r="B553" s="143" t="n">
        <x:v>6.846153846153846e-7</x:v>
      </x:c>
      <x:c r="C553" s="143" t="n">
        <x:v>0.007</x:v>
      </x:c>
      <x:c r="D553" s="161" t="n">
        <x:v>79</x:v>
      </x:c>
      <x:c r="E553" s="163" t="n">
        <x:v>10216.312719485755</x:v>
      </x:c>
      <x:c r="F553" s="163" t="n">
        <x:v>10216</x:v>
      </x:c>
      <x:c r="G553" s="145" t="n">
        <x:v>0.02177576903259504</x:v>
      </x:c>
      <x:c r="H553" s="145" t="n">
        <x:v>0.12315933900919185</x:v>
      </x:c>
      <x:c r="I553" s="136" t="str">
        <x:v>POSITIVE-MODEL-MARGIN</x:v>
      </x:c>
      <x:c r="J553" s="136" t="str">
        <x:v>V0.7-CONTROLLED-RESEARCH-SCREEN-NOT-DISTRIBUTION</x:v>
      </x:c>
    </x:row>
    <x:row r="554" ht="22" customHeight="1">
      <x:c r="A554" s="137" t="str">
        <x:v>SCR-0549</x:v>
      </x:c>
      <x:c r="B554" s="142" t="n">
        <x:v>6.846153846153846e-7</x:v>
      </x:c>
      <x:c r="C554" s="142" t="n">
        <x:v>0.007307692307692308</x:v>
      </x:c>
      <x:c r="D554" s="160" t="n">
        <x:v>78</x:v>
      </x:c>
      <x:c r="E554" s="162" t="n">
        <x:v>8839.526797322837</x:v>
      </x:c>
      <x:c r="F554" s="162" t="n">
        <x:v>8839</x:v>
      </x:c>
      <x:c r="G554" s="144" t="n">
        <x:v>0.02199793735700514</x:v>
      </x:c>
      <x:c r="H554" s="144" t="n">
        <x:v>0.12470291834341299</x:v>
      </x:c>
      <x:c r="I554" s="137" t="str">
        <x:v>POSITIVE-MODEL-MARGIN</x:v>
      </x:c>
      <x:c r="J554" s="137" t="str">
        <x:v>V0.7-CONTROLLED-RESEARCH-SCREEN-NOT-DISTRIBUTION</x:v>
      </x:c>
    </x:row>
    <x:row r="555" ht="22" customHeight="1">
      <x:c r="A555" s="136" t="str">
        <x:v>SCR-0550</x:v>
      </x:c>
      <x:c r="B555" s="143" t="n">
        <x:v>6.846153846153846e-7</x:v>
      </x:c>
      <x:c r="C555" s="143" t="n">
        <x:v>0.007615384615384616</x:v>
      </x:c>
      <x:c r="D555" s="161" t="n">
        <x:v>77</x:v>
      </x:c>
      <x:c r="E555" s="163" t="n">
        <x:v>7473.4394328236995</x:v>
      </x:c>
      <x:c r="F555" s="163" t="n">
        <x:v>7473</x:v>
      </x:c>
      <x:c r="G555" s="145" t="n">
        <x:v>0.02222062673164603</x:v>
      </x:c>
      <x:c r="H555" s="145" t="n">
        <x:v>0.12627217350674458</x:v>
      </x:c>
      <x:c r="I555" s="136" t="str">
        <x:v>POSITIVE-MODEL-MARGIN</x:v>
      </x:c>
      <x:c r="J555" s="136" t="str">
        <x:v>V0.7-CONTROLLED-RESEARCH-SCREEN-NOT-DISTRIBUTION</x:v>
      </x:c>
    </x:row>
    <x:row r="556" ht="22" customHeight="1">
      <x:c r="A556" s="137" t="str">
        <x:v>SCR-0551</x:v>
      </x:c>
      <x:c r="B556" s="142" t="n">
        <x:v>6.846153846153846e-7</x:v>
      </x:c>
      <x:c r="C556" s="142" t="n">
        <x:v>0.007923076923076923</x:v>
      </x:c>
      <x:c r="D556" s="160" t="n">
        <x:v>77</x:v>
      </x:c>
      <x:c r="E556" s="162" t="n">
        <x:v>6120.399726066917</x:v>
      </x:c>
      <x:c r="F556" s="162" t="n">
        <x:v>6120</x:v>
      </x:c>
      <x:c r="G556" s="144" t="n">
        <x:v>0.0225191929163539</x:v>
      </x:c>
      <x:c r="H556" s="144" t="n">
        <x:v>0.12774998622511355</x:v>
      </x:c>
      <x:c r="I556" s="137" t="str">
        <x:v>POSITIVE-MODEL-MARGIN</x:v>
      </x:c>
      <x:c r="J556" s="137" t="str">
        <x:v>V0.7-CONTROLLED-RESEARCH-SCREEN-NOT-DISTRIBUTION</x:v>
      </x:c>
    </x:row>
    <x:row r="557" ht="22" customHeight="1">
      <x:c r="A557" s="136" t="str">
        <x:v>SCR-0552</x:v>
      </x:c>
      <x:c r="B557" s="143" t="n">
        <x:v>6.846153846153846e-7</x:v>
      </x:c>
      <x:c r="C557" s="143" t="n">
        <x:v>0.00823076923076923</x:v>
      </x:c>
      <x:c r="D557" s="161" t="n">
        <x:v>76</x:v>
      </x:c>
      <x:c r="E557" s="163" t="n">
        <x:v>4776.85034052996</x:v>
      </x:c>
      <x:c r="F557" s="163" t="n">
        <x:v>4776</x:v>
      </x:c>
      <x:c r="G557" s="145" t="n">
        <x:v>0.022742434123863235</x:v>
      </x:c>
      <x:c r="H557" s="145" t="n">
        <x:v>0.12935000087281157</x:v>
      </x:c>
      <x:c r="I557" s="136" t="str">
        <x:v>POSITIVE-MODEL-MARGIN</x:v>
      </x:c>
      <x:c r="J557" s="136" t="str">
        <x:v>V0.7-CONTROLLED-RESEARCH-SCREEN-NOT-DISTRIBUTION</x:v>
      </x:c>
    </x:row>
    <x:row r="558" ht="22" customHeight="1">
      <x:c r="A558" s="137" t="str">
        <x:v>SCR-0553</x:v>
      </x:c>
      <x:c r="B558" s="142" t="n">
        <x:v>6.846153846153846e-7</x:v>
      </x:c>
      <x:c r="C558" s="142" t="n">
        <x:v>0.00853846153846154</x:v>
      </x:c>
      <x:c r="D558" s="160" t="n">
        <x:v>75</x:v>
      </x:c>
      <x:c r="E558" s="162" t="n">
        <x:v>3448.168907138639</x:v>
      </x:c>
      <x:c r="F558" s="162" t="n">
        <x:v>3448</x:v>
      </x:c>
      <x:c r="G558" s="144" t="n">
        <x:v>0.02296616327799836</x:v>
      </x:c>
      <x:c r="H558" s="144" t="n">
        <x:v>0.13097795999320663</x:v>
      </x:c>
      <x:c r="I558" s="137" t="str">
        <x:v>POSITIVE-MODEL-MARGIN</x:v>
      </x:c>
      <x:c r="J558" s="137" t="str">
        <x:v>V0.7-CONTROLLED-RESEARCH-SCREEN-NOT-DISTRIBUTION</x:v>
      </x:c>
    </x:row>
    <x:row r="559" ht="22" customHeight="1">
      <x:c r="A559" s="136" t="str">
        <x:v>SCR-0554</x:v>
      </x:c>
      <x:c r="B559" s="143" t="n">
        <x:v>6.846153846153846e-7</x:v>
      </x:c>
      <x:c r="C559" s="143" t="n">
        <x:v>0.008846153846153847</x:v>
      </x:c>
      <x:c r="D559" s="161" t="n">
        <x:v>74</x:v>
      </x:c>
      <x:c r="E559" s="163" t="n">
        <x:v>2134.530150066512</x:v>
      </x:c>
      <x:c r="F559" s="163" t="n">
        <x:v>2134</x:v>
      </x:c>
      <x:c r="G559" s="145" t="n">
        <x:v>0.023190363690839114</x:v>
      </x:c>
      <x:c r="H559" s="145" t="n">
        <x:v>0.13263500970237047</x:v>
      </x:c>
      <x:c r="I559" s="136" t="str">
        <x:v>POSITIVE-MODEL-MARGIN</x:v>
      </x:c>
      <x:c r="J559" s="136" t="str">
        <x:v>V0.7-CONTROLLED-RESEARCH-SCREEN-NOT-DISTRIBUTION</x:v>
      </x:c>
    </x:row>
    <x:row r="560" ht="22" customHeight="1">
      <x:c r="A560" s="137" t="str">
        <x:v>SCR-0555</x:v>
      </x:c>
      <x:c r="B560" s="142" t="n">
        <x:v>6.846153846153846e-7</x:v>
      </x:c>
      <x:c r="C560" s="142" t="n">
        <x:v>0.009153846153846155</x:v>
      </x:c>
      <x:c r="D560" s="160" t="n">
        <x:v>74</x:v>
      </x:c>
      <x:c r="E560" s="162" t="n">
        <x:v>834.9395595393472</x:v>
      </x:c>
      <x:c r="F560" s="162" t="n">
        <x:v>834</x:v>
      </x:c>
      <x:c r="G560" s="144" t="n">
        <x:v>0.0234890705352761</x:v>
      </x:c>
      <x:c r="H560" s="144" t="n">
        <x:v>0.13412409063204742</x:v>
      </x:c>
      <x:c r="I560" s="137" t="str">
        <x:v>POSITIVE-MODEL-MARGIN</x:v>
      </x:c>
      <x:c r="J560" s="137" t="str">
        <x:v>V0.7-CONTROLLED-RESEARCH-SCREEN-NOT-DISTRIBUTION</x:v>
      </x:c>
    </x:row>
    <x:row r="561" ht="22" customHeight="1">
      <x:c r="A561" s="136" t="str">
        <x:v>SCR-0556</x:v>
      </x:c>
      <x:c r="B561" s="143" t="n">
        <x:v>6.846153846153846e-7</x:v>
      </x:c>
      <x:c r="C561" s="143" t="n">
        <x:v>0.009461538461538462</x:v>
      </x:c>
      <x:c r="D561" s="161" t="n">
        <x:v>73</x:v>
      </x:c>
      <x:c r="E561" s="163" t="n">
        <x:v>-451.96333982824206</x:v>
      </x:c>
      <x:c r="F561" s="163" t="n">
        <x:v>0</x:v>
      </x:c>
      <x:c r="G561" s="145" t="n">
        <x:v>0.02371377172519572</x:v>
      </x:c>
      <x:c r="H561" s="145" t="n">
        <x:v>0.13581611676961264</x:v>
      </x:c>
      <x:c r="I561" s="136" t="str">
        <x:v>NONPOSITIVE-MODEL-MARGIN</x:v>
      </x:c>
      <x:c r="J561" s="136" t="str">
        <x:v>V0.7-CONTROLLED-RESEARCH-SCREEN-NOT-DISTRIBUTION</x:v>
      </x:c>
    </x:row>
    <x:row r="562" ht="22" customHeight="1">
      <x:c r="A562" s="137" t="str">
        <x:v>SCR-0557</x:v>
      </x:c>
      <x:c r="B562" s="142" t="n">
        <x:v>6.846153846153846e-7</x:v>
      </x:c>
      <x:c r="C562" s="142" t="n">
        <x:v>0.00976923076923077</x:v>
      </x:c>
      <x:c r="D562" s="160" t="n">
        <x:v>73</x:v>
      </x:c>
      <x:c r="E562" s="162" t="n">
        <x:v>-1729.2135647852665</x:v>
      </x:c>
      <x:c r="F562" s="162" t="n">
        <x:v>0</x:v>
      </x:c>
      <x:c r="G562" s="144" t="n">
        <x:v>0.024012524990054723</x:v>
      </x:c>
      <x:c r="H562" s="144" t="n">
        <x:v>0.13730837145321934</x:v>
      </x:c>
      <x:c r="I562" s="137" t="str">
        <x:v>NONPOSITIVE-MODEL-MARGIN</x:v>
      </x:c>
      <x:c r="J562" s="137" t="str">
        <x:v>V0.7-CONTROLLED-RESEARCH-SCREEN-NOT-DISTRIBUTION</x:v>
      </x:c>
    </x:row>
    <x:row r="563" ht="22" customHeight="1">
      <x:c r="A563" s="136" t="str">
        <x:v>SCR-0558</x:v>
      </x:c>
      <x:c r="B563" s="143" t="n">
        <x:v>6.846153846153846e-7</x:v>
      </x:c>
      <x:c r="C563" s="143" t="n">
        <x:v>0.010076923076923077</x:v>
      </x:c>
      <x:c r="D563" s="161" t="n">
        <x:v>1</x:v>
      </x:c>
      <x:c r="E563" s="163" t="n">
        <x:v>-2352.29859073188</x:v>
      </x:c>
      <x:c r="F563" s="163" t="n">
        <x:v>0</x:v>
      </x:c>
      <x:c r="G563" s="145" t="n">
        <x:v>0.02105170566667829</x:v>
      </x:c>
      <x:c r="H563" s="145" t="n">
        <x:v>0.5</x:v>
      </x:c>
      <x:c r="I563" s="136" t="str">
        <x:v>NONPOSITIVE-MODEL-MARGIN</x:v>
      </x:c>
      <x:c r="J563" s="136" t="str">
        <x:v>V0.7-CONTROLLED-RESEARCH-SCREEN-NOT-DISTRIBUTION</x:v>
      </x:c>
    </x:row>
    <x:row r="564" ht="22" customHeight="1">
      <x:c r="A564" s="137" t="str">
        <x:v>SCR-0559</x:v>
      </x:c>
      <x:c r="B564" s="142" t="n">
        <x:v>6.846153846153846e-7</x:v>
      </x:c>
      <x:c r="C564" s="142" t="n">
        <x:v>0.010384615384615384</x:v>
      </x:c>
      <x:c r="D564" s="160" t="n">
        <x:v>1</x:v>
      </x:c>
      <x:c r="E564" s="162" t="n">
        <x:v>-2371.4200213518197</x:v>
      </x:c>
      <x:c r="F564" s="162" t="n">
        <x:v>0</x:v>
      </x:c>
      <x:c r="G564" s="144" t="n">
        <x:v>0.02135250608314215</x:v>
      </x:c>
      <x:c r="H564" s="144" t="n">
        <x:v>0.5</x:v>
      </x:c>
      <x:c r="I564" s="137" t="str">
        <x:v>NONPOSITIVE-MODEL-MARGIN</x:v>
      </x:c>
      <x:c r="J564" s="137" t="str">
        <x:v>V0.7-CONTROLLED-RESEARCH-SCREEN-NOT-DISTRIBUTION</x:v>
      </x:c>
    </x:row>
    <x:row r="565" ht="22" customHeight="1">
      <x:c r="A565" s="136" t="str">
        <x:v>SCR-0560</x:v>
      </x:c>
      <x:c r="B565" s="143" t="n">
        <x:v>6.846153846153846e-7</x:v>
      </x:c>
      <x:c r="C565" s="143" t="n">
        <x:v>0.010692307692307692</x:v>
      </x:c>
      <x:c r="D565" s="161" t="n">
        <x:v>1</x:v>
      </x:c>
      <x:c r="E565" s="163" t="n">
        <x:v>-2390.4789353420306</x:v>
      </x:c>
      <x:c r="F565" s="163" t="n">
        <x:v>0</x:v>
      </x:c>
      <x:c r="G565" s="145" t="n">
        <x:v>0.021653306499606</x:v>
      </x:c>
      <x:c r="H565" s="145" t="n">
        <x:v>0.5</x:v>
      </x:c>
      <x:c r="I565" s="136" t="str">
        <x:v>NONPOSITIVE-MODEL-MARGIN</x:v>
      </x:c>
      <x:c r="J565" s="136" t="str">
        <x:v>V0.7-CONTROLLED-RESEARCH-SCREEN-NOT-DISTRIBUTION</x:v>
      </x:c>
    </x:row>
    <x:row r="566" ht="22" customHeight="1">
      <x:c r="A566" s="137" t="str">
        <x:v>SCR-0561</x:v>
      </x:c>
      <x:c r="B566" s="142" t="n">
        <x:v>6.846153846153846e-7</x:v>
      </x:c>
      <x:c r="C566" s="142" t="n">
        <x:v>0.011</x:v>
      </x:c>
      <x:c r="D566" s="160" t="n">
        <x:v>1</x:v>
      </x:c>
      <x:c r="E566" s="162" t="n">
        <x:v>-2409.475946891718</x:v>
      </x:c>
      <x:c r="F566" s="162" t="n">
        <x:v>0</x:v>
      </x:c>
      <x:c r="G566" s="144" t="n">
        <x:v>0.021954106916069856</x:v>
      </x:c>
      <x:c r="H566" s="144" t="n">
        <x:v>0.5</x:v>
      </x:c>
      <x:c r="I566" s="137" t="str">
        <x:v>NONPOSITIVE-MODEL-MARGIN</x:v>
      </x:c>
      <x:c r="J566" s="137" t="str">
        <x:v>V0.7-CONTROLLED-RESEARCH-SCREEN-NOT-DISTRIBUTION</x:v>
      </x:c>
    </x:row>
    <x:row r="567" ht="22" customHeight="1">
      <x:c r="A567" s="136" t="str">
        <x:v>SCR-0562</x:v>
      </x:c>
      <x:c r="B567" s="143" t="n">
        <x:v>6.846153846153846e-7</x:v>
      </x:c>
      <x:c r="C567" s="143" t="n">
        <x:v>0.011307692307692307</x:v>
      </x:c>
      <x:c r="D567" s="161" t="n">
        <x:v>1</x:v>
      </x:c>
      <x:c r="E567" s="163" t="n">
        <x:v>-2428.411659484238</x:v>
      </x:c>
      <x:c r="F567" s="163" t="n">
        <x:v>0</x:v>
      </x:c>
      <x:c r="G567" s="145" t="n">
        <x:v>0.022254907332533713</x:v>
      </x:c>
      <x:c r="H567" s="145" t="n">
        <x:v>0.5</x:v>
      </x:c>
      <x:c r="I567" s="136" t="str">
        <x:v>NONPOSITIVE-MODEL-MARGIN</x:v>
      </x:c>
      <x:c r="J567" s="136" t="str">
        <x:v>V0.7-CONTROLLED-RESEARCH-SCREEN-NOT-DISTRIBUTION</x:v>
      </x:c>
    </x:row>
    <x:row r="568" ht="22" customHeight="1">
      <x:c r="A568" s="137" t="str">
        <x:v>SCR-0563</x:v>
      </x:c>
      <x:c r="B568" s="142" t="n">
        <x:v>6.846153846153846e-7</x:v>
      </x:c>
      <x:c r="C568" s="142" t="n">
        <x:v>0.011615384615384614</x:v>
      </x:c>
      <x:c r="D568" s="160" t="n">
        <x:v>1</x:v>
      </x:c>
      <x:c r="E568" s="162" t="n">
        <x:v>-2451.055619236427</x:v>
      </x:c>
      <x:c r="F568" s="162" t="n">
        <x:v>0</x:v>
      </x:c>
      <x:c r="G568" s="144" t="n">
        <x:v>0.022555707748997563</x:v>
      </x:c>
      <x:c r="H568" s="144" t="n">
        <x:v>0.5</x:v>
      </x:c>
      <x:c r="I568" s="137" t="str">
        <x:v>NONPOSITIVE-MODEL-MARGIN</x:v>
      </x:c>
      <x:c r="J568" s="137" t="str">
        <x:v>V0.7-CONTROLLED-RESEARCH-SCREEN-NOT-DISTRIBUTION</x:v>
      </x:c>
    </x:row>
    <x:row r="569" ht="22" customHeight="1">
      <x:c r="A569" s="136" t="str">
        <x:v>SCR-0564</x:v>
      </x:c>
      <x:c r="B569" s="143" t="n">
        <x:v>6.846153846153846e-7</x:v>
      </x:c>
      <x:c r="C569" s="143" t="n">
        <x:v>0.011923076923076925</x:v>
      </x:c>
      <x:c r="D569" s="161" t="n">
        <x:v>1</x:v>
      </x:c>
      <x:c r="E569" s="163" t="n">
        <x:v>-2469.8569469476993</x:v>
      </x:c>
      <x:c r="F569" s="163" t="n">
        <x:v>0</x:v>
      </x:c>
      <x:c r="G569" s="145" t="n">
        <x:v>0.022856508165461423</x:v>
      </x:c>
      <x:c r="H569" s="145" t="n">
        <x:v>0.5</x:v>
      </x:c>
      <x:c r="I569" s="136" t="str">
        <x:v>NONPOSITIVE-MODEL-MARGIN</x:v>
      </x:c>
      <x:c r="J569" s="136" t="str">
        <x:v>V0.7-CONTROLLED-RESEARCH-SCREEN-NOT-DISTRIBUTION</x:v>
      </x:c>
    </x:row>
    <x:row r="570" ht="22" customHeight="1">
      <x:c r="A570" s="137" t="str">
        <x:v>SCR-0565</x:v>
      </x:c>
      <x:c r="B570" s="142" t="n">
        <x:v>6.846153846153846e-7</x:v>
      </x:c>
      <x:c r="C570" s="142" t="n">
        <x:v>0.012230769230769233</x:v>
      </x:c>
      <x:c r="D570" s="160" t="n">
        <x:v>1</x:v>
      </x:c>
      <x:c r="E570" s="162" t="n">
        <x:v>-2488.5988969292066</x:v>
      </x:c>
      <x:c r="F570" s="162" t="n">
        <x:v>0</x:v>
      </x:c>
      <x:c r="G570" s="144" t="n">
        <x:v>0.02315730858192527</x:v>
      </x:c>
      <x:c r="H570" s="144" t="n">
        <x:v>0.5</x:v>
      </x:c>
      <x:c r="I570" s="137" t="str">
        <x:v>NONPOSITIVE-MODEL-MARGIN</x:v>
      </x:c>
      <x:c r="J570" s="137" t="str">
        <x:v>V0.7-CONTROLLED-RESEARCH-SCREEN-NOT-DISTRIBUTION</x:v>
      </x:c>
    </x:row>
    <x:row r="571" ht="22" customHeight="1">
      <x:c r="A571" s="136" t="str">
        <x:v>SCR-0566</x:v>
      </x:c>
      <x:c r="B571" s="143" t="n">
        <x:v>6.846153846153846e-7</x:v>
      </x:c>
      <x:c r="C571" s="143" t="n">
        <x:v>0.01253846153846154</x:v>
      </x:c>
      <x:c r="D571" s="161" t="n">
        <x:v>1</x:v>
      </x:c>
      <x:c r="E571" s="163" t="n">
        <x:v>-2507.2820272768886</x:v>
      </x:c>
      <x:c r="F571" s="163" t="n">
        <x:v>0</x:v>
      </x:c>
      <x:c r="G571" s="145" t="n">
        <x:v>0.02345810899838912</x:v>
      </x:c>
      <x:c r="H571" s="145" t="n">
        <x:v>0.5</x:v>
      </x:c>
      <x:c r="I571" s="136" t="str">
        <x:v>NONPOSITIVE-MODEL-MARGIN</x:v>
      </x:c>
      <x:c r="J571" s="136" t="str">
        <x:v>V0.7-CONTROLLED-RESEARCH-SCREEN-NOT-DISTRIBUTION</x:v>
      </x:c>
    </x:row>
    <x:row r="572" ht="22" customHeight="1">
      <x:c r="A572" s="137" t="str">
        <x:v>SCR-0567</x:v>
      </x:c>
      <x:c r="B572" s="142" t="n">
        <x:v>6.846153846153846e-7</x:v>
      </x:c>
      <x:c r="C572" s="142" t="n">
        <x:v>0.012846153846153847</x:v>
      </x:c>
      <x:c r="D572" s="160" t="n">
        <x:v>1</x:v>
      </x:c>
      <x:c r="E572" s="162" t="n">
        <x:v>-2525.90688651269</x:v>
      </x:c>
      <x:c r="F572" s="162" t="n">
        <x:v>0</x:v>
      </x:c>
      <x:c r="G572" s="144" t="n">
        <x:v>0.02375890941485298</x:v>
      </x:c>
      <x:c r="H572" s="144" t="n">
        <x:v>0.5</x:v>
      </x:c>
      <x:c r="I572" s="137" t="str">
        <x:v>NONPOSITIVE-MODEL-MARGIN</x:v>
      </x:c>
      <x:c r="J572" s="137" t="str">
        <x:v>V0.7-CONTROLLED-RESEARCH-SCREEN-NOT-DISTRIBUTION</x:v>
      </x:c>
    </x:row>
    <x:row r="573" ht="22" customHeight="1">
      <x:c r="A573" s="136" t="str">
        <x:v>SCR-0568</x:v>
      </x:c>
      <x:c r="B573" s="143" t="n">
        <x:v>6.846153846153846e-7</x:v>
      </x:c>
      <x:c r="C573" s="143" t="n">
        <x:v>0.013153846153846155</x:v>
      </x:c>
      <x:c r="D573" s="161" t="n">
        <x:v>1</x:v>
      </x:c>
      <x:c r="E573" s="163" t="n">
        <x:v>-2544.4740137697186</x:v>
      </x:c>
      <x:c r="F573" s="163" t="n">
        <x:v>0</x:v>
      </x:c>
      <x:c r="G573" s="145" t="n">
        <x:v>0.024059709831316833</x:v>
      </x:c>
      <x:c r="H573" s="145" t="n">
        <x:v>0.5</x:v>
      </x:c>
      <x:c r="I573" s="136" t="str">
        <x:v>NONPOSITIVE-MODEL-MARGIN</x:v>
      </x:c>
      <x:c r="J573" s="136" t="str">
        <x:v>V0.7-CONTROLLED-RESEARCH-SCREEN-NOT-DISTRIBUTION</x:v>
      </x:c>
    </x:row>
    <x:row r="574" ht="22" customHeight="1">
      <x:c r="A574" s="137" t="str">
        <x:v>SCR-0569</x:v>
      </x:c>
      <x:c r="B574" s="142" t="n">
        <x:v>6.846153846153846e-7</x:v>
      </x:c>
      <x:c r="C574" s="142" t="n">
        <x:v>0.013461538461538462</x:v>
      </x:c>
      <x:c r="D574" s="160" t="n">
        <x:v>1</x:v>
      </x:c>
      <x:c r="E574" s="162" t="n">
        <x:v>-2562.983938977118</x:v>
      </x:c>
      <x:c r="F574" s="162" t="n">
        <x:v>0</x:v>
      </x:c>
      <x:c r="G574" s="144" t="n">
        <x:v>0.024360510247780687</x:v>
      </x:c>
      <x:c r="H574" s="144" t="n">
        <x:v>0.5</x:v>
      </x:c>
      <x:c r="I574" s="137" t="str">
        <x:v>NONPOSITIVE-MODEL-MARGIN</x:v>
      </x:c>
      <x:c r="J574" s="137" t="str">
        <x:v>V0.7-CONTROLLED-RESEARCH-SCREEN-NOT-DISTRIBUTION</x:v>
      </x:c>
    </x:row>
    <x:row r="575" ht="22" customHeight="1">
      <x:c r="A575" s="136" t="str">
        <x:v>SCR-0570</x:v>
      </x:c>
      <x:c r="B575" s="143" t="n">
        <x:v>6.846153846153846e-7</x:v>
      </x:c>
      <x:c r="C575" s="143" t="n">
        <x:v>0.01376923076923077</x:v>
      </x:c>
      <x:c r="D575" s="161" t="n">
        <x:v>1</x:v>
      </x:c>
      <x:c r="E575" s="163" t="n">
        <x:v>-2581.43718304378</x:v>
      </x:c>
      <x:c r="F575" s="163" t="n">
        <x:v>0</x:v>
      </x:c>
      <x:c r="G575" s="145" t="n">
        <x:v>0.024661310664244533</x:v>
      </x:c>
      <x:c r="H575" s="145" t="n">
        <x:v>0.5</x:v>
      </x:c>
      <x:c r="I575" s="136" t="str">
        <x:v>NONPOSITIVE-MODEL-MARGIN</x:v>
      </x:c>
      <x:c r="J575" s="136" t="str">
        <x:v>V0.7-CONTROLLED-RESEARCH-SCREEN-NOT-DISTRIBUTION</x:v>
      </x:c>
    </x:row>
    <x:row r="576" ht="22" customHeight="1">
      <x:c r="A576" s="137" t="str">
        <x:v>SCR-0571</x:v>
      </x:c>
      <x:c r="B576" s="142" t="n">
        <x:v>6.846153846153846e-7</x:v>
      </x:c>
      <x:c r="C576" s="142" t="n">
        <x:v>0.014076923076923077</x:v>
      </x:c>
      <x:c r="D576" s="160" t="n">
        <x:v>1</x:v>
      </x:c>
      <x:c r="E576" s="162" t="n">
        <x:v>-2603.4993752530745</x:v>
      </x:c>
      <x:c r="F576" s="162" t="n">
        <x:v>0</x:v>
      </x:c>
      <x:c r="G576" s="144" t="n">
        <x:v>0.02496211108070839</x:v>
      </x:c>
      <x:c r="H576" s="144" t="n">
        <x:v>0.5</x:v>
      </x:c>
      <x:c r="I576" s="137" t="str">
        <x:v>NONPOSITIVE-MODEL-MARGIN</x:v>
      </x:c>
      <x:c r="J576" s="137" t="str">
        <x:v>V0.7-CONTROLLED-RESEARCH-SCREEN-NOT-DISTRIBUTION</x:v>
      </x:c>
    </x:row>
    <x:row r="577" ht="22" customHeight="1">
      <x:c r="A577" s="136" t="str">
        <x:v>SCR-0572</x:v>
      </x:c>
      <x:c r="B577" s="143" t="n">
        <x:v>6.846153846153846e-7</x:v>
      </x:c>
      <x:c r="C577" s="143" t="n">
        <x:v>0.014384615384615385</x:v>
      </x:c>
      <x:c r="D577" s="161" t="n">
        <x:v>1</x:v>
      </x:c>
      <x:c r="E577" s="163" t="n">
        <x:v>-2621.828497792832</x:v>
      </x:c>
      <x:c r="F577" s="163" t="n">
        <x:v>0</x:v>
      </x:c>
      <x:c r="G577" s="145" t="n">
        <x:v>0.025262911497172247</x:v>
      </x:c>
      <x:c r="H577" s="145" t="n">
        <x:v>0.5</x:v>
      </x:c>
      <x:c r="I577" s="136" t="str">
        <x:v>NONPOSITIVE-MODEL-MARGIN</x:v>
      </x:c>
      <x:c r="J577" s="136" t="str">
        <x:v>V0.7-CONTROLLED-RESEARCH-SCREEN-NOT-DISTRIBUTION</x:v>
      </x:c>
    </x:row>
    <x:row r="578" ht="22" customHeight="1">
      <x:c r="A578" s="137" t="str">
        <x:v>SCR-0573</x:v>
      </x:c>
      <x:c r="B578" s="142" t="n">
        <x:v>6.846153846153846e-7</x:v>
      </x:c>
      <x:c r="C578" s="142" t="n">
        <x:v>0.014692307692307692</x:v>
      </x:c>
      <x:c r="D578" s="160" t="n">
        <x:v>1</x:v>
      </x:c>
      <x:c r="E578" s="162" t="n">
        <x:v>-2640.102591299325</x:v>
      </x:c>
      <x:c r="F578" s="162" t="n">
        <x:v>0</x:v>
      </x:c>
      <x:c r="G578" s="144" t="n">
        <x:v>0.025563711913636097</x:v>
      </x:c>
      <x:c r="H578" s="144" t="n">
        <x:v>0.5</x:v>
      </x:c>
      <x:c r="I578" s="137" t="str">
        <x:v>NONPOSITIVE-MODEL-MARGIN</x:v>
      </x:c>
      <x:c r="J578" s="137" t="str">
        <x:v>V0.7-CONTROLLED-RESEARCH-SCREEN-NOT-DISTRIBUTION</x:v>
      </x:c>
    </x:row>
    <x:row r="579" ht="22" customHeight="1">
      <x:c r="A579" s="136" t="str">
        <x:v>SCR-0574</x:v>
      </x:c>
      <x:c r="B579" s="143" t="n">
        <x:v>6.846153846153846e-7</x:v>
      </x:c>
      <x:c r="C579" s="143" t="n">
        <x:v>0.015</x:v>
      </x:c>
      <x:c r="D579" s="161" t="n">
        <x:v>1</x:v>
      </x:c>
      <x:c r="E579" s="163" t="n">
        <x:v>-2658.3221390885988</x:v>
      </x:c>
      <x:c r="F579" s="163" t="n">
        <x:v>0</x:v>
      </x:c>
      <x:c r="G579" s="145" t="n">
        <x:v>0.025864512330099954</x:v>
      </x:c>
      <x:c r="H579" s="145" t="n">
        <x:v>0.5</x:v>
      </x:c>
      <x:c r="I579" s="136" t="str">
        <x:v>NONPOSITIVE-MODEL-MARGIN</x:v>
      </x:c>
      <x:c r="J579" s="136" t="str">
        <x:v>V0.7-CONTROLLED-RESEARCH-SCREEN-NOT-DISTRIBUTION</x:v>
      </x:c>
    </x:row>
    <x:row r="580" ht="22" customHeight="1">
      <x:c r="A580" s="137" t="str">
        <x:v>SCR-0575</x:v>
      </x:c>
      <x:c r="B580" s="142" t="n">
        <x:v>7.333333333333333e-7</x:v>
      </x:c>
      <x:c r="C580" s="142" t="n">
        <x:v>0.003</x:v>
      </x:c>
      <x:c r="D580" s="160" t="n">
        <x:v>83</x:v>
      </x:c>
      <x:c r="E580" s="162" t="n">
        <x:v>24020.336103723468</x:v>
      </x:c>
      <x:c r="F580" s="162" t="n">
        <x:v>24020</x:v>
      </x:c>
      <x:c r="G580" s="144" t="n">
        <x:v>0.01922056337663245</x:v>
      </x:c>
      <x:c r="H580" s="144" t="n">
        <x:v>0.10985877694981176</x:v>
      </x:c>
      <x:c r="I580" s="137" t="str">
        <x:v>POSITIVE-MODEL-MARGIN</x:v>
      </x:c>
      <x:c r="J580" s="137" t="str">
        <x:v>V0.7-CONTROLLED-RESEARCH-SCREEN-NOT-DISTRIBUTION</x:v>
      </x:c>
    </x:row>
    <x:row r="581" ht="22" customHeight="1">
      <x:c r="A581" s="136" t="str">
        <x:v>SCR-0576</x:v>
      </x:c>
      <x:c r="B581" s="143" t="n">
        <x:v>7.333333333333333e-7</x:v>
      </x:c>
      <x:c r="C581" s="143" t="n">
        <x:v>0.003307692307692308</x:v>
      </x:c>
      <x:c r="D581" s="161" t="n">
        <x:v>82</x:v>
      </x:c>
      <x:c r="E581" s="163" t="n">
        <x:v>22530.449665547752</x:v>
      </x:c>
      <x:c r="F581" s="163" t="n">
        <x:v>22530</x:v>
      </x:c>
      <x:c r="G581" s="145" t="n">
        <x:v>0.019434674515358744</x:v>
      </x:c>
      <x:c r="H581" s="145" t="n">
        <x:v>0.1112793662448265</x:v>
      </x:c>
      <x:c r="I581" s="136" t="str">
        <x:v>POSITIVE-MODEL-MARGIN</x:v>
      </x:c>
      <x:c r="J581" s="136" t="str">
        <x:v>V0.7-CONTROLLED-RESEARCH-SCREEN-NOT-DISTRIBUTION</x:v>
      </x:c>
    </x:row>
    <x:row r="582" ht="22" customHeight="1">
      <x:c r="A582" s="137" t="str">
        <x:v>SCR-0577</x:v>
      </x:c>
      <x:c r="B582" s="142" t="n">
        <x:v>7.333333333333333e-7</x:v>
      </x:c>
      <x:c r="C582" s="142" t="n">
        <x:v>0.0036153846153846154</x:v>
      </x:c>
      <x:c r="D582" s="160" t="n">
        <x:v>81</x:v>
      </x:c>
      <x:c r="E582" s="162" t="n">
        <x:v>21052.791536595203</x:v>
      </x:c>
      <x:c r="F582" s="162" t="n">
        <x:v>21052</x:v>
      </x:c>
      <x:c r="G582" s="144" t="n">
        <x:v>0.019649284315105944</x:v>
      </x:c>
      <x:c r="H582" s="144" t="n">
        <x:v>0.11272049644241217</x:v>
      </x:c>
      <x:c r="I582" s="137" t="str">
        <x:v>POSITIVE-MODEL-MARGIN</x:v>
      </x:c>
      <x:c r="J582" s="137" t="str">
        <x:v>V0.7-CONTROLLED-RESEARCH-SCREEN-NOT-DISTRIBUTION</x:v>
      </x:c>
    </x:row>
    <x:row r="583" ht="22" customHeight="1">
      <x:c r="A583" s="136" t="str">
        <x:v>SCR-0578</x:v>
      </x:c>
      <x:c r="B583" s="143" t="n">
        <x:v>7.333333333333333e-7</x:v>
      </x:c>
      <x:c r="C583" s="143" t="n">
        <x:v>0.003923076923076923</x:v>
      </x:c>
      <x:c r="D583" s="161" t="n">
        <x:v>81</x:v>
      </x:c>
      <x:c r="E583" s="163" t="n">
        <x:v>19589.019142149486</x:v>
      </x:c>
      <x:c r="F583" s="163" t="n">
        <x:v>19589</x:v>
      </x:c>
      <x:c r="G583" s="145" t="n">
        <x:v>0.019947038491354378</x:v>
      </x:c>
      <x:c r="H583" s="145" t="n">
        <x:v>0.11420175040998923</x:v>
      </x:c>
      <x:c r="I583" s="136" t="str">
        <x:v>POSITIVE-MODEL-MARGIN</x:v>
      </x:c>
      <x:c r="J583" s="136" t="str">
        <x:v>V0.7-CONTROLLED-RESEARCH-SCREEN-NOT-DISTRIBUTION</x:v>
      </x:c>
    </x:row>
    <x:row r="584" ht="22" customHeight="1">
      <x:c r="A584" s="137" t="str">
        <x:v>SCR-0579</x:v>
      </x:c>
      <x:c r="B584" s="142" t="n">
        <x:v>7.333333333333333e-7</x:v>
      </x:c>
      <x:c r="C584" s="142" t="n">
        <x:v>0.004230769230769231</x:v>
      </x:c>
      <x:c r="D584" s="160" t="n">
        <x:v>80</x:v>
      </x:c>
      <x:c r="E584" s="162" t="n">
        <x:v>18135.94283565068</x:v>
      </x:c>
      <x:c r="F584" s="162" t="n">
        <x:v>18135</x:v>
      </x:c>
      <x:c r="G584" s="144" t="n">
        <x:v>0.020162181024074785</x:v>
      </x:c>
      <x:c r="H584" s="144" t="n">
        <x:v>0.115667568169452</x:v>
      </x:c>
      <x:c r="I584" s="137" t="str">
        <x:v>POSITIVE-MODEL-MARGIN</x:v>
      </x:c>
      <x:c r="J584" s="137" t="str">
        <x:v>V0.7-CONTROLLED-RESEARCH-SCREEN-NOT-DISTRIBUTION</x:v>
      </x:c>
    </x:row>
    <x:row r="585" ht="22" customHeight="1">
      <x:c r="A585" s="136" t="str">
        <x:v>SCR-0580</x:v>
      </x:c>
      <x:c r="B585" s="143" t="n">
        <x:v>7.333333333333333e-7</x:v>
      </x:c>
      <x:c r="C585" s="143" t="n">
        <x:v>0.004538461538461538</x:v>
      </x:c>
      <x:c r="D585" s="161" t="n">
        <x:v>80</x:v>
      </x:c>
      <x:c r="E585" s="163" t="n">
        <x:v>16696.93694895608</x:v>
      </x:c>
      <x:c r="F585" s="163" t="n">
        <x:v>16696</x:v>
      </x:c>
      <x:c r="G585" s="145" t="n">
        <x:v>0.020459986472171614</x:v>
      </x:c>
      <x:c r="H585" s="145" t="n">
        <x:v>0.11715047094980532</x:v>
      </x:c>
      <x:c r="I585" s="136" t="str">
        <x:v>POSITIVE-MODEL-MARGIN</x:v>
      </x:c>
      <x:c r="J585" s="136" t="str">
        <x:v>V0.7-CONTROLLED-RESEARCH-SCREEN-NOT-DISTRIBUTION</x:v>
      </x:c>
    </x:row>
    <x:row r="586" ht="22" customHeight="1">
      <x:c r="A586" s="137" t="str">
        <x:v>SCR-0581</x:v>
      </x:c>
      <x:c r="B586" s="142" t="n">
        <x:v>7.333333333333333e-7</x:v>
      </x:c>
      <x:c r="C586" s="142" t="n">
        <x:v>0.004846153846153846</x:v>
      </x:c>
      <x:c r="D586" s="160" t="n">
        <x:v>79</x:v>
      </x:c>
      <x:c r="E586" s="162" t="n">
        <x:v>15268.45287075025</x:v>
      </x:c>
      <x:c r="F586" s="162" t="n">
        <x:v>15268</x:v>
      </x:c>
      <x:c r="G586" s="144" t="n">
        <x:v>0.02067564389357185</x:v>
      </x:c>
      <x:c r="H586" s="144" t="n">
        <x:v>0.11864208270245861</x:v>
      </x:c>
      <x:c r="I586" s="137" t="str">
        <x:v>POSITIVE-MODEL-MARGIN</x:v>
      </x:c>
      <x:c r="J586" s="137" t="str">
        <x:v>V0.7-CONTROLLED-RESEARCH-SCREEN-NOT-DISTRIBUTION</x:v>
      </x:c>
    </x:row>
    <x:row r="587" ht="22" customHeight="1">
      <x:c r="A587" s="136" t="str">
        <x:v>SCR-0582</x:v>
      </x:c>
      <x:c r="B587" s="143" t="n">
        <x:v>7.333333333333333e-7</x:v>
      </x:c>
      <x:c r="C587" s="143" t="n">
        <x:v>0.005</x:v>
      </x:c>
      <x:c r="D587" s="161" t="n">
        <x:v>79</x:v>
      </x:c>
      <x:c r="E587" s="163" t="n">
        <x:v>14562.002388303637</x:v>
      </x:c>
      <x:c r="F587" s="163" t="n">
        <x:v>14562</x:v>
      </x:c>
      <x:c r="G587" s="145" t="n">
        <x:v>0.020824572141357515</x:v>
      </x:c>
      <x:c r="H587" s="145" t="n">
        <x:v>0.11938468360149207</x:v>
      </x:c>
      <x:c r="I587" s="136" t="str">
        <x:v>POSITIVE-MODEL-MARGIN</x:v>
      </x:c>
      <x:c r="J587" s="136" t="str">
        <x:v>V0.7-CONTROLLED-RESEARCH-SCREEN-NOT-DISTRIBUTION</x:v>
      </x:c>
    </x:row>
    <x:row r="588" ht="22" customHeight="1">
      <x:c r="A588" s="137" t="str">
        <x:v>SCR-0583</x:v>
      </x:c>
      <x:c r="B588" s="142" t="n">
        <x:v>7.333333333333333e-7</x:v>
      </x:c>
      <x:c r="C588" s="142" t="n">
        <x:v>0.005153846153846154</x:v>
      </x:c>
      <x:c r="D588" s="160" t="n">
        <x:v>78</x:v>
      </x:c>
      <x:c r="E588" s="162" t="n">
        <x:v>13856.50548701402</x:v>
      </x:c>
      <x:c r="F588" s="162" t="n">
        <x:v>13856</x:v>
      </x:c>
      <x:c r="G588" s="144" t="n">
        <x:v>0.020891747337187714</x:v>
      </x:c>
      <x:c r="H588" s="144" t="n">
        <x:v>0.12015687807677379</x:v>
      </x:c>
      <x:c r="I588" s="137" t="str">
        <x:v>POSITIVE-MODEL-MARGIN</x:v>
      </x:c>
      <x:c r="J588" s="137" t="str">
        <x:v>V0.7-CONTROLLED-RESEARCH-SCREEN-NOT-DISTRIBUTION</x:v>
      </x:c>
    </x:row>
    <x:row r="589" ht="22" customHeight="1">
      <x:c r="A589" s="136" t="str">
        <x:v>SCR-0584</x:v>
      </x:c>
      <x:c r="B589" s="143" t="n">
        <x:v>7.333333333333333e-7</x:v>
      </x:c>
      <x:c r="C589" s="143" t="n">
        <x:v>0.005461538461538462</x:v>
      </x:c>
      <x:c r="D589" s="161" t="n">
        <x:v>78</x:v>
      </x:c>
      <x:c r="E589" s="163" t="n">
        <x:v>12457.588660317957</x:v>
      </x:c>
      <x:c r="F589" s="163" t="n">
        <x:v>12457</x:v>
      </x:c>
      <x:c r="G589" s="145" t="n">
        <x:v>0.021189654666381376</x:v>
      </x:c>
      <x:c r="H589" s="145" t="n">
        <x:v>0.12164542803339365</x:v>
      </x:c>
      <x:c r="I589" s="136" t="str">
        <x:v>POSITIVE-MODEL-MARGIN</x:v>
      </x:c>
      <x:c r="J589" s="136" t="str">
        <x:v>V0.7-CONTROLLED-RESEARCH-SCREEN-NOT-DISTRIBUTION</x:v>
      </x:c>
    </x:row>
    <x:row r="590" ht="22" customHeight="1">
      <x:c r="A590" s="137" t="str">
        <x:v>SCR-0585</x:v>
      </x:c>
      <x:c r="B590" s="142" t="n">
        <x:v>7.333333333333333e-7</x:v>
      </x:c>
      <x:c r="C590" s="142" t="n">
        <x:v>0.0057692307692307696</x:v>
      </x:c>
      <x:c r="D590" s="160" t="n">
        <x:v>77</x:v>
      </x:c>
      <x:c r="E590" s="162" t="n">
        <x:v>11067.784422540764</x:v>
      </x:c>
      <x:c r="F590" s="162" t="n">
        <x:v>11067</x:v>
      </x:c>
      <x:c r="G590" s="144" t="n">
        <x:v>0.021406364702100954</x:v>
      </x:c>
      <x:c r="H590" s="144" t="n">
        <x:v>0.12318963813513958</x:v>
      </x:c>
      <x:c r="I590" s="137" t="str">
        <x:v>POSITIVE-MODEL-MARGIN</x:v>
      </x:c>
      <x:c r="J590" s="137" t="str">
        <x:v>V0.7-CONTROLLED-RESEARCH-SCREEN-NOT-DISTRIBUTION</x:v>
      </x:c>
    </x:row>
    <x:row r="591" ht="22" customHeight="1">
      <x:c r="A591" s="136" t="str">
        <x:v>SCR-0586</x:v>
      </x:c>
      <x:c r="B591" s="143" t="n">
        <x:v>7.333333333333333e-7</x:v>
      </x:c>
      <x:c r="C591" s="143" t="n">
        <x:v>0.006076923076923077</x:v>
      </x:c>
      <x:c r="D591" s="161" t="n">
        <x:v>77</x:v>
      </x:c>
      <x:c r="E591" s="163" t="n">
        <x:v>9692.655711072443</x:v>
      </x:c>
      <x:c r="F591" s="163" t="n">
        <x:v>9692</x:v>
      </x:c>
      <x:c r="G591" s="145" t="n">
        <x:v>0.02170432258221381</x:v>
      </x:c>
      <x:c r="H591" s="145" t="n">
        <x:v>0.12468047441780375</x:v>
      </x:c>
      <x:c r="I591" s="136" t="str">
        <x:v>POSITIVE-MODEL-MARGIN</x:v>
      </x:c>
      <x:c r="J591" s="136" t="str">
        <x:v>V0.7-CONTROLLED-RESEARCH-SCREEN-NOT-DISTRIBUTION</x:v>
      </x:c>
    </x:row>
    <x:row r="592" ht="22" customHeight="1">
      <x:c r="A592" s="137" t="str">
        <x:v>SCR-0587</x:v>
      </x:c>
      <x:c r="B592" s="142" t="n">
        <x:v>7.333333333333333e-7</x:v>
      </x:c>
      <x:c r="C592" s="142" t="n">
        <x:v>0.006384615384615384</x:v>
      </x:c>
      <x:c r="D592" s="160" t="n">
        <x:v>76</x:v>
      </x:c>
      <x:c r="E592" s="162" t="n">
        <x:v>8332.70616438732</x:v>
      </x:c>
      <x:c r="F592" s="162" t="n">
        <x:v>8332</x:v>
      </x:c>
      <x:c r="G592" s="144" t="n">
        <x:v>0.021921621186533995</x:v>
      </x:c>
      <x:c r="H592" s="144" t="n">
        <x:v>0.12625547213601082</x:v>
      </x:c>
      <x:c r="I592" s="137" t="str">
        <x:v>POSITIVE-MODEL-MARGIN</x:v>
      </x:c>
      <x:c r="J592" s="137" t="str">
        <x:v>V0.7-CONTROLLED-RESEARCH-SCREEN-NOT-DISTRIBUTION</x:v>
      </x:c>
    </x:row>
    <x:row r="593" ht="22" customHeight="1">
      <x:c r="A593" s="136" t="str">
        <x:v>SCR-0588</x:v>
      </x:c>
      <x:c r="B593" s="143" t="n">
        <x:v>7.333333333333333e-7</x:v>
      </x:c>
      <x:c r="C593" s="143" t="n">
        <x:v>0.006692307692307693</x:v>
      </x:c>
      <x:c r="D593" s="161" t="n">
        <x:v>76</x:v>
      </x:c>
      <x:c r="E593" s="163" t="n">
        <x:v>6977.199211719537</x:v>
      </x:c>
      <x:c r="F593" s="163" t="n">
        <x:v>6977</x:v>
      </x:c>
      <x:c r="G593" s="145" t="n">
        <x:v>0.022219629345216665</x:v>
      </x:c>
      <x:c r="H593" s="145" t="n">
        <x:v>0.1277488313910252</x:v>
      </x:c>
      <x:c r="I593" s="136" t="str">
        <x:v>POSITIVE-MODEL-MARGIN</x:v>
      </x:c>
      <x:c r="J593" s="136" t="str">
        <x:v>V0.7-CONTROLLED-RESEARCH-SCREEN-NOT-DISTRIBUTION</x:v>
      </x:c>
    </x:row>
    <x:row r="594" ht="22" customHeight="1">
      <x:c r="A594" s="137" t="str">
        <x:v>SCR-0589</x:v>
      </x:c>
      <x:c r="B594" s="142" t="n">
        <x:v>7.333333333333333e-7</x:v>
      </x:c>
      <x:c r="C594" s="142" t="n">
        <x:v>0.007</x:v>
      </x:c>
      <x:c r="D594" s="160" t="n">
        <x:v>74</x:v>
      </x:c>
      <x:c r="E594" s="162" t="n">
        <x:v>5641.111645252637</x:v>
      </x:c>
      <x:c r="F594" s="162" t="n">
        <x:v>5641</x:v>
      </x:c>
      <x:c r="G594" s="144" t="n">
        <x:v>0.0223577617081514</x:v>
      </x:c>
      <x:c r="H594" s="144" t="n">
        <x:v>0.12949026912955874</x:v>
      </x:c>
      <x:c r="I594" s="137" t="str">
        <x:v>POSITIVE-MODEL-MARGIN</x:v>
      </x:c>
      <x:c r="J594" s="137" t="str">
        <x:v>V0.7-CONTROLLED-RESEARCH-SCREEN-NOT-DISTRIBUTION</x:v>
      </x:c>
    </x:row>
    <x:row r="595" ht="22" customHeight="1">
      <x:c r="A595" s="136" t="str">
        <x:v>SCR-0590</x:v>
      </x:c>
      <x:c r="B595" s="143" t="n">
        <x:v>7.333333333333333e-7</x:v>
      </x:c>
      <x:c r="C595" s="143" t="n">
        <x:v>0.007307692307692308</x:v>
      </x:c>
      <x:c r="D595" s="161" t="n">
        <x:v>74</x:v>
      </x:c>
      <x:c r="E595" s="163" t="n">
        <x:v>4320.3277337632935</x:v>
      </x:c>
      <x:c r="F595" s="163" t="n">
        <x:v>4320</x:v>
      </x:c>
      <x:c r="G595" s="145" t="n">
        <x:v>0.022655869649036323</x:v>
      </x:c>
      <x:c r="H595" s="145" t="n">
        <x:v>0.1309925299580758</x:v>
      </x:c>
      <x:c r="I595" s="136" t="str">
        <x:v>POSITIVE-MODEL-MARGIN</x:v>
      </x:c>
      <x:c r="J595" s="136" t="str">
        <x:v>V0.7-CONTROLLED-RESEARCH-SCREEN-NOT-DISTRIBUTION</x:v>
      </x:c>
    </x:row>
    <x:row r="596" ht="22" customHeight="1">
      <x:c r="A596" s="137" t="str">
        <x:v>SCR-0591</x:v>
      </x:c>
      <x:c r="B596" s="142" t="n">
        <x:v>7.333333333333333e-7</x:v>
      </x:c>
      <x:c r="C596" s="142" t="n">
        <x:v>0.007615384615384616</x:v>
      </x:c>
      <x:c r="D596" s="160" t="n">
        <x:v>73</x:v>
      </x:c>
      <x:c r="E596" s="162" t="n">
        <x:v>3008.339296701135</x:v>
      </x:c>
      <x:c r="F596" s="162" t="n">
        <x:v>3008</x:v>
      </x:c>
      <x:c r="G596" s="144" t="n">
        <x:v>0.022874725185936202</x:v>
      </x:c>
      <x:c r="H596" s="144" t="n">
        <x:v>0.13265942668999114</x:v>
      </x:c>
      <x:c r="I596" s="137" t="str">
        <x:v>POSITIVE-MODEL-MARGIN</x:v>
      </x:c>
      <x:c r="J596" s="137" t="str">
        <x:v>V0.7-CONTROLLED-RESEARCH-SCREEN-NOT-DISTRIBUTION</x:v>
      </x:c>
    </x:row>
    <x:row r="597" ht="22" customHeight="1">
      <x:c r="A597" s="136" t="str">
        <x:v>SCR-0592</x:v>
      </x:c>
      <x:c r="B597" s="143" t="n">
        <x:v>7.333333333333333e-7</x:v>
      </x:c>
      <x:c r="C597" s="143" t="n">
        <x:v>0.007923076923076923</x:v>
      </x:c>
      <x:c r="D597" s="161" t="n">
        <x:v>73</x:v>
      </x:c>
      <x:c r="E597" s="163" t="n">
        <x:v>1710.375967351345</x:v>
      </x:c>
      <x:c r="F597" s="163" t="n">
        <x:v>1710</x:v>
      </x:c>
      <x:c r="G597" s="145" t="n">
        <x:v>0.02317288265190909</x:v>
      </x:c>
      <x:c r="H597" s="145" t="n">
        <x:v>0.13416487018013334</x:v>
      </x:c>
      <x:c r="I597" s="136" t="str">
        <x:v>POSITIVE-MODEL-MARGIN</x:v>
      </x:c>
      <x:c r="J597" s="136" t="str">
        <x:v>V0.7-CONTROLLED-RESEARCH-SCREEN-NOT-DISTRIBUTION</x:v>
      </x:c>
    </x:row>
    <x:row r="598" ht="22" customHeight="1">
      <x:c r="A598" s="137" t="str">
        <x:v>SCR-0593</x:v>
      </x:c>
      <x:c r="B598" s="142" t="n">
        <x:v>7.333333333333333e-7</x:v>
      </x:c>
      <x:c r="C598" s="142" t="n">
        <x:v>0.00823076923076923</x:v>
      </x:c>
      <x:c r="D598" s="160" t="n">
        <x:v>72</x:v>
      </x:c>
      <x:c r="E598" s="162" t="n">
        <x:v>426.2281142225148</x:v>
      </x:c>
      <x:c r="F598" s="162" t="n">
        <x:v>426</x:v>
      </x:c>
      <x:c r="G598" s="144" t="n">
        <x:v>0.02339238223581466</x:v>
      </x:c>
      <x:c r="H598" s="144" t="n">
        <x:v>0.13587003493482458</x:v>
      </x:c>
      <x:c r="I598" s="137" t="str">
        <x:v>POSITIVE-MODEL-MARGIN</x:v>
      </x:c>
      <x:c r="J598" s="137" t="str">
        <x:v>V0.7-CONTROLLED-RESEARCH-SCREEN-NOT-DISTRIBUTION</x:v>
      </x:c>
    </x:row>
    <x:row r="599" ht="22" customHeight="1">
      <x:c r="A599" s="136" t="str">
        <x:v>SCR-0594</x:v>
      </x:c>
      <x:c r="B599" s="143" t="n">
        <x:v>7.333333333333333e-7</x:v>
      </x:c>
      <x:c r="C599" s="143" t="n">
        <x:v>0.00853846153846154</x:v>
      </x:c>
      <x:c r="D599" s="161" t="n">
        <x:v>71</x:v>
      </x:c>
      <x:c r="E599" s="163" t="n">
        <x:v>-848.9253724726403</x:v>
      </x:c>
      <x:c r="F599" s="163" t="n">
        <x:v>0</x:v>
      </x:c>
      <x:c r="G599" s="145" t="n">
        <x:v>0.023612458731336917</x:v>
      </x:c>
      <x:c r="H599" s="145" t="n">
        <x:v>0.13761017737267006</x:v>
      </x:c>
      <x:c r="I599" s="136" t="str">
        <x:v>NONPOSITIVE-MODEL-MARGIN</x:v>
      </x:c>
      <x:c r="J599" s="136" t="str">
        <x:v>V0.7-CONTROLLED-RESEARCH-SCREEN-NOT-DISTRIBUTION</x:v>
      </x:c>
    </x:row>
    <x:row r="600" ht="22" customHeight="1">
      <x:c r="A600" s="137" t="str">
        <x:v>SCR-0595</x:v>
      </x:c>
      <x:c r="B600" s="142" t="n">
        <x:v>7.333333333333333e-7</x:v>
      </x:c>
      <x:c r="C600" s="142" t="n">
        <x:v>0.008846153846153847</x:v>
      </x:c>
      <x:c r="D600" s="160" t="n">
        <x:v>71</x:v>
      </x:c>
      <x:c r="E600" s="162" t="n">
        <x:v>-2105.4224044971743</x:v>
      </x:c>
      <x:c r="F600" s="162" t="n">
        <x:v>0</x:v>
      </x:c>
      <x:c r="G600" s="144" t="n">
        <x:v>0.02391071432790074</x:v>
      </x:c>
      <x:c r="H600" s="144" t="n">
        <x:v>0.1391242910076672</x:v>
      </x:c>
      <x:c r="I600" s="137" t="str">
        <x:v>NONPOSITIVE-MODEL-MARGIN</x:v>
      </x:c>
      <x:c r="J600" s="137" t="str">
        <x:v>V0.7-CONTROLLED-RESEARCH-SCREEN-NOT-DISTRIBUTION</x:v>
      </x:c>
    </x:row>
    <x:row r="601" ht="22" customHeight="1">
      <x:c r="A601" s="136" t="str">
        <x:v>SCR-0596</x:v>
      </x:c>
      <x:c r="B601" s="143" t="n">
        <x:v>7.333333333333333e-7</x:v>
      </x:c>
      <x:c r="C601" s="143" t="n">
        <x:v>0.009153846153846155</x:v>
      </x:c>
      <x:c r="D601" s="161" t="n">
        <x:v>1</x:v>
      </x:c>
      <x:c r="E601" s="163" t="n">
        <x:v>-2343.361321916062</x:v>
      </x:c>
      <x:c r="F601" s="163" t="n">
        <x:v>0</x:v>
      </x:c>
      <x:c r="G601" s="145" t="n">
        <x:v>0.02087969698189759</x:v>
      </x:c>
      <x:c r="H601" s="145" t="n">
        <x:v>0.5</x:v>
      </x:c>
      <x:c r="I601" s="136" t="str">
        <x:v>NONPOSITIVE-MODEL-MARGIN</x:v>
      </x:c>
      <x:c r="J601" s="136" t="str">
        <x:v>V0.7-CONTROLLED-RESEARCH-SCREEN-NOT-DISTRIBUTION</x:v>
      </x:c>
    </x:row>
    <x:row r="602" ht="22" customHeight="1">
      <x:c r="A602" s="137" t="str">
        <x:v>SCR-0597</x:v>
      </x:c>
      <x:c r="B602" s="142" t="n">
        <x:v>7.333333333333333e-7</x:v>
      </x:c>
      <x:c r="C602" s="142" t="n">
        <x:v>0.009461538461538462</x:v>
      </x:c>
      <x:c r="D602" s="160" t="n">
        <x:v>1</x:v>
      </x:c>
      <x:c r="E602" s="162" t="n">
        <x:v>-2362.523423275923</x:v>
      </x:c>
      <x:c r="F602" s="162" t="n">
        <x:v>0</x:v>
      </x:c>
      <x:c r="G602" s="144" t="n">
        <x:v>0.02118003957292398</x:v>
      </x:c>
      <x:c r="H602" s="144" t="n">
        <x:v>0.5</x:v>
      </x:c>
      <x:c r="I602" s="137" t="str">
        <x:v>NONPOSITIVE-MODEL-MARGIN</x:v>
      </x:c>
      <x:c r="J602" s="137" t="str">
        <x:v>V0.7-CONTROLLED-RESEARCH-SCREEN-NOT-DISTRIBUTION</x:v>
      </x:c>
    </x:row>
    <x:row r="603" ht="22" customHeight="1">
      <x:c r="A603" s="136" t="str">
        <x:v>SCR-0598</x:v>
      </x:c>
      <x:c r="B603" s="143" t="n">
        <x:v>7.333333333333333e-7</x:v>
      </x:c>
      <x:c r="C603" s="143" t="n">
        <x:v>0.00976923076923077</x:v>
      </x:c>
      <x:c r="D603" s="161" t="n">
        <x:v>1</x:v>
      </x:c>
      <x:c r="E603" s="163" t="n">
        <x:v>-2381.6226833652518</x:v>
      </x:c>
      <x:c r="F603" s="163" t="n">
        <x:v>0</x:v>
      </x:c>
      <x:c r="G603" s="145" t="n">
        <x:v>0.021480382163950373</x:v>
      </x:c>
      <x:c r="H603" s="145" t="n">
        <x:v>0.5</x:v>
      </x:c>
      <x:c r="I603" s="136" t="str">
        <x:v>NONPOSITIVE-MODEL-MARGIN</x:v>
      </x:c>
      <x:c r="J603" s="136" t="str">
        <x:v>V0.7-CONTROLLED-RESEARCH-SCREEN-NOT-DISTRIBUTION</x:v>
      </x:c>
    </x:row>
    <x:row r="604" ht="22" customHeight="1">
      <x:c r="A604" s="137" t="str">
        <x:v>SCR-0599</x:v>
      </x:c>
      <x:c r="B604" s="142" t="n">
        <x:v>7.333333333333333e-7</x:v>
      </x:c>
      <x:c r="C604" s="142" t="n">
        <x:v>0.010076923076923077</x:v>
      </x:c>
      <x:c r="D604" s="160" t="n">
        <x:v>1</x:v>
      </x:c>
      <x:c r="E604" s="162" t="n">
        <x:v>-2400.659722474513</x:v>
      </x:c>
      <x:c r="F604" s="162" t="n">
        <x:v>0</x:v>
      </x:c>
      <x:c r="G604" s="144" t="n">
        <x:v>0.021780724754976756</x:v>
      </x:c>
      <x:c r="H604" s="144" t="n">
        <x:v>0.5</x:v>
      </x:c>
      <x:c r="I604" s="137" t="str">
        <x:v>NONPOSITIVE-MODEL-MARGIN</x:v>
      </x:c>
      <x:c r="J604" s="137" t="str">
        <x:v>V0.7-CONTROLLED-RESEARCH-SCREEN-NOT-DISTRIBUTION</x:v>
      </x:c>
    </x:row>
    <x:row r="605" ht="22" customHeight="1">
      <x:c r="A605" s="136" t="str">
        <x:v>SCR-0600</x:v>
      </x:c>
      <x:c r="B605" s="143" t="n">
        <x:v>7.333333333333333e-7</x:v>
      </x:c>
      <x:c r="C605" s="143" t="n">
        <x:v>0.010384615384615384</x:v>
      </x:c>
      <x:c r="D605" s="161" t="n">
        <x:v>1</x:v>
      </x:c>
      <x:c r="E605" s="163" t="n">
        <x:v>-2419.635150058821</x:v>
      </x:c>
      <x:c r="F605" s="163" t="n">
        <x:v>0</x:v>
      </x:c>
      <x:c r="G605" s="145" t="n">
        <x:v>0.02208106734600315</x:v>
      </x:c>
      <x:c r="H605" s="145" t="n">
        <x:v>0.5</x:v>
      </x:c>
      <x:c r="I605" s="136" t="str">
        <x:v>NONPOSITIVE-MODEL-MARGIN</x:v>
      </x:c>
      <x:c r="J605" s="136" t="str">
        <x:v>V0.7-CONTROLLED-RESEARCH-SCREEN-NOT-DISTRIBUTION</x:v>
      </x:c>
    </x:row>
    <x:row r="606" ht="22" customHeight="1">
      <x:c r="A606" s="137" t="str">
        <x:v>SCR-0601</x:v>
      </x:c>
      <x:c r="B606" s="142" t="n">
        <x:v>7.333333333333333e-7</x:v>
      </x:c>
      <x:c r="C606" s="142" t="n">
        <x:v>0.010692307692307692</x:v>
      </x:c>
      <x:c r="D606" s="160" t="n">
        <x:v>1</x:v>
      </x:c>
      <x:c r="E606" s="162" t="n">
        <x:v>-2442.326453830402</x:v>
      </x:c>
      <x:c r="F606" s="162" t="n">
        <x:v>0</x:v>
      </x:c>
      <x:c r="G606" s="144" t="n">
        <x:v>0.022381409937029542</x:v>
      </x:c>
      <x:c r="H606" s="144" t="n">
        <x:v>0.5</x:v>
      </x:c>
      <x:c r="I606" s="137" t="str">
        <x:v>NONPOSITIVE-MODEL-MARGIN</x:v>
      </x:c>
      <x:c r="J606" s="137" t="str">
        <x:v>V0.7-CONTROLLED-RESEARCH-SCREEN-NOT-DISTRIBUTION</x:v>
      </x:c>
    </x:row>
    <x:row r="607" ht="22" customHeight="1">
      <x:c r="A607" s="136" t="str">
        <x:v>SCR-0602</x:v>
      </x:c>
      <x:c r="B607" s="143" t="n">
        <x:v>7.333333333333333e-7</x:v>
      </x:c>
      <x:c r="C607" s="143" t="n">
        <x:v>0.011</x:v>
      </x:c>
      <x:c r="D607" s="161" t="n">
        <x:v>1</x:v>
      </x:c>
      <x:c r="E607" s="163" t="n">
        <x:v>-2461.1668070238766</x:v>
      </x:c>
      <x:c r="F607" s="163" t="n">
        <x:v>0</x:v>
      </x:c>
      <x:c r="G607" s="145" t="n">
        <x:v>0.022681752528055932</x:v>
      </x:c>
      <x:c r="H607" s="145" t="n">
        <x:v>0.5</x:v>
      </x:c>
      <x:c r="I607" s="136" t="str">
        <x:v>NONPOSITIVE-MODEL-MARGIN</x:v>
      </x:c>
      <x:c r="J607" s="136" t="str">
        <x:v>V0.7-CONTROLLED-RESEARCH-SCREEN-NOT-DISTRIBUTION</x:v>
      </x:c>
    </x:row>
    <x:row r="608" ht="22" customHeight="1">
      <x:c r="A608" s="137" t="str">
        <x:v>SCR-0603</x:v>
      </x:c>
      <x:c r="B608" s="142" t="n">
        <x:v>7.333333333333333e-7</x:v>
      </x:c>
      <x:c r="C608" s="142" t="n">
        <x:v>0.011307692307692307</x:v>
      </x:c>
      <x:c r="D608" s="160" t="n">
        <x:v>1</x:v>
      </x:c>
      <x:c r="E608" s="162" t="n">
        <x:v>-2479.947489210945</x:v>
      </x:c>
      <x:c r="F608" s="162" t="n">
        <x:v>0</x:v>
      </x:c>
      <x:c r="G608" s="144" t="n">
        <x:v>0.022982095119082325</x:v>
      </x:c>
      <x:c r="H608" s="144" t="n">
        <x:v>0.5</x:v>
      </x:c>
      <x:c r="I608" s="137" t="str">
        <x:v>NONPOSITIVE-MODEL-MARGIN</x:v>
      </x:c>
      <x:c r="J608" s="137" t="str">
        <x:v>V0.7-CONTROLLED-RESEARCH-SCREEN-NOT-DISTRIBUTION</x:v>
      </x:c>
    </x:row>
    <x:row r="609" ht="22" customHeight="1">
      <x:c r="A609" s="136" t="str">
        <x:v>SCR-0604</x:v>
      </x:c>
      <x:c r="B609" s="143" t="n">
        <x:v>7.333333333333333e-7</x:v>
      </x:c>
      <x:c r="C609" s="143" t="n">
        <x:v>0.011615384615384614</x:v>
      </x:c>
      <x:c r="D609" s="161" t="n">
        <x:v>1</x:v>
      </x:c>
      <x:c r="E609" s="163" t="n">
        <x:v>-2498.6690638680807</x:v>
      </x:c>
      <x:c r="F609" s="163" t="n">
        <x:v>0</x:v>
      </x:c>
      <x:c r="G609" s="145" t="n">
        <x:v>0.023282437710108714</x:v>
      </x:c>
      <x:c r="H609" s="145" t="n">
        <x:v>0.5</x:v>
      </x:c>
      <x:c r="I609" s="136" t="str">
        <x:v>NONPOSITIVE-MODEL-MARGIN</x:v>
      </x:c>
      <x:c r="J609" s="136" t="str">
        <x:v>V0.7-CONTROLLED-RESEARCH-SCREEN-NOT-DISTRIBUTION</x:v>
      </x:c>
    </x:row>
    <x:row r="610" ht="22" customHeight="1">
      <x:c r="A610" s="137" t="str">
        <x:v>SCR-0605</x:v>
      </x:c>
      <x:c r="B610" s="142" t="n">
        <x:v>7.333333333333333e-7</x:v>
      </x:c>
      <x:c r="C610" s="142" t="n">
        <x:v>0.011923076923076925</x:v>
      </x:c>
      <x:c r="D610" s="160" t="n">
        <x:v>1</x:v>
      </x:c>
      <x:c r="E610" s="162" t="n">
        <x:v>-2517.3320847786126</x:v>
      </x:c>
      <x:c r="F610" s="162" t="n">
        <x:v>0</x:v>
      </x:c>
      <x:c r="G610" s="144" t="n">
        <x:v>0.023582780301135108</x:v>
      </x:c>
      <x:c r="H610" s="144" t="n">
        <x:v>0.5</x:v>
      </x:c>
      <x:c r="I610" s="137" t="str">
        <x:v>NONPOSITIVE-MODEL-MARGIN</x:v>
      </x:c>
      <x:c r="J610" s="137" t="str">
        <x:v>V0.7-CONTROLLED-RESEARCH-SCREEN-NOT-DISTRIBUTION</x:v>
      </x:c>
    </x:row>
    <x:row r="611" ht="22" customHeight="1">
      <x:c r="A611" s="136" t="str">
        <x:v>SCR-0606</x:v>
      </x:c>
      <x:c r="B611" s="143" t="n">
        <x:v>7.333333333333333e-7</x:v>
      </x:c>
      <x:c r="C611" s="143" t="n">
        <x:v>0.012230769230769233</x:v>
      </x:c>
      <x:c r="D611" s="161" t="n">
        <x:v>1</x:v>
      </x:c>
      <x:c r="E611" s="163" t="n">
        <x:v>-2535.93709621961</x:v>
      </x:c>
      <x:c r="F611" s="163" t="n">
        <x:v>0</x:v>
      </x:c>
      <x:c r="G611" s="145" t="n">
        <x:v>0.023883122892161497</x:v>
      </x:c>
      <x:c r="H611" s="145" t="n">
        <x:v>0.5</x:v>
      </x:c>
      <x:c r="I611" s="136" t="str">
        <x:v>NONPOSITIVE-MODEL-MARGIN</x:v>
      </x:c>
      <x:c r="J611" s="136" t="str">
        <x:v>V0.7-CONTROLLED-RESEARCH-SCREEN-NOT-DISTRIBUTION</x:v>
      </x:c>
    </x:row>
    <x:row r="612" ht="22" customHeight="1">
      <x:c r="A612" s="137" t="str">
        <x:v>SCR-0607</x:v>
      </x:c>
      <x:c r="B612" s="142" t="n">
        <x:v>7.333333333333333e-7</x:v>
      </x:c>
      <x:c r="C612" s="142" t="n">
        <x:v>0.01253846153846154</x:v>
      </x:c>
      <x:c r="D612" s="160" t="n">
        <x:v>1</x:v>
      </x:c>
      <x:c r="E612" s="162" t="n">
        <x:v>-2554.484633148494</x:v>
      </x:c>
      <x:c r="F612" s="162" t="n">
        <x:v>0</x:v>
      </x:c>
      <x:c r="G612" s="144" t="n">
        <x:v>0.024183465483187894</x:v>
      </x:c>
      <x:c r="H612" s="144" t="n">
        <x:v>0.5</x:v>
      </x:c>
      <x:c r="I612" s="137" t="str">
        <x:v>NONPOSITIVE-MODEL-MARGIN</x:v>
      </x:c>
      <x:c r="J612" s="137" t="str">
        <x:v>V0.7-CONTROLLED-RESEARCH-SCREEN-NOT-DISTRIBUTION</x:v>
      </x:c>
    </x:row>
    <x:row r="613" ht="22" customHeight="1">
      <x:c r="A613" s="136" t="str">
        <x:v>SCR-0608</x:v>
      </x:c>
      <x:c r="B613" s="143" t="n">
        <x:v>7.333333333333333e-7</x:v>
      </x:c>
      <x:c r="C613" s="143" t="n">
        <x:v>0.012846153846153847</x:v>
      </x:c>
      <x:c r="D613" s="161" t="n">
        <x:v>1</x:v>
      </x:c>
      <x:c r="E613" s="163" t="n">
        <x:v>-2576.660176143233</x:v>
      </x:c>
      <x:c r="F613" s="163" t="n">
        <x:v>0</x:v>
      </x:c>
      <x:c r="G613" s="145" t="n">
        <x:v>0.024483808074214283</x:v>
      </x:c>
      <x:c r="H613" s="145" t="n">
        <x:v>0.5</x:v>
      </x:c>
      <x:c r="I613" s="136" t="str">
        <x:v>NONPOSITIVE-MODEL-MARGIN</x:v>
      </x:c>
      <x:c r="J613" s="136" t="str">
        <x:v>V0.7-CONTROLLED-RESEARCH-SCREEN-NOT-DISTRIBUTION</x:v>
      </x:c>
    </x:row>
    <x:row r="614" ht="22" customHeight="1">
      <x:c r="A614" s="137" t="str">
        <x:v>SCR-0609</x:v>
      </x:c>
      <x:c r="B614" s="142" t="n">
        <x:v>7.333333333333333e-7</x:v>
      </x:c>
      <x:c r="C614" s="142" t="n">
        <x:v>0.013153846153846155</x:v>
      </x:c>
      <x:c r="D614" s="160" t="n">
        <x:v>1</x:v>
      </x:c>
      <x:c r="E614" s="162" t="n">
        <x:v>-2595.081832282545</x:v>
      </x:c>
      <x:c r="F614" s="162" t="n">
        <x:v>0</x:v>
      </x:c>
      <x:c r="G614" s="144" t="n">
        <x:v>0.024784150665240673</x:v>
      </x:c>
      <x:c r="H614" s="144" t="n">
        <x:v>0.5</x:v>
      </x:c>
      <x:c r="I614" s="137" t="str">
        <x:v>NONPOSITIVE-MODEL-MARGIN</x:v>
      </x:c>
      <x:c r="J614" s="137" t="str">
        <x:v>V0.7-CONTROLLED-RESEARCH-SCREEN-NOT-DISTRIBUTION</x:v>
      </x:c>
    </x:row>
    <x:row r="615" ht="22" customHeight="1">
      <x:c r="A615" s="136" t="str">
        <x:v>SCR-0610</x:v>
      </x:c>
      <x:c r="B615" s="143" t="n">
        <x:v>7.333333333333333e-7</x:v>
      </x:c>
      <x:c r="C615" s="143" t="n">
        <x:v>0.013461538461538462</x:v>
      </x:c>
      <x:c r="D615" s="161" t="n">
        <x:v>1</x:v>
      </x:c>
      <x:c r="E615" s="163" t="n">
        <x:v>-2613.447711485208</x:v>
      </x:c>
      <x:c r="F615" s="163" t="n">
        <x:v>0</x:v>
      </x:c>
      <x:c r="G615" s="145" t="n">
        <x:v>0.02508449325626706</x:v>
      </x:c>
      <x:c r="H615" s="145" t="n">
        <x:v>0.5</x:v>
      </x:c>
      <x:c r="I615" s="136" t="str">
        <x:v>NONPOSITIVE-MODEL-MARGIN</x:v>
      </x:c>
      <x:c r="J615" s="136" t="str">
        <x:v>V0.7-CONTROLLED-RESEARCH-SCREEN-NOT-DISTRIBUTION</x:v>
      </x:c>
    </x:row>
    <x:row r="616" ht="22" customHeight="1">
      <x:c r="A616" s="137" t="str">
        <x:v>SCR-0611</x:v>
      </x:c>
      <x:c r="B616" s="142" t="n">
        <x:v>7.333333333333333e-7</x:v>
      </x:c>
      <x:c r="C616" s="142" t="n">
        <x:v>0.01376923076923077</x:v>
      </x:c>
      <x:c r="D616" s="160" t="n">
        <x:v>1</x:v>
      </x:c>
      <x:c r="E616" s="162" t="n">
        <x:v>-2631.75830977705</x:v>
      </x:c>
      <x:c r="F616" s="162" t="n">
        <x:v>0</x:v>
      </x:c>
      <x:c r="G616" s="144" t="n">
        <x:v>0.02538483584729345</x:v>
      </x:c>
      <x:c r="H616" s="144" t="n">
        <x:v>0.5</x:v>
      </x:c>
      <x:c r="I616" s="137" t="str">
        <x:v>NONPOSITIVE-MODEL-MARGIN</x:v>
      </x:c>
      <x:c r="J616" s="137" t="str">
        <x:v>V0.7-CONTROLLED-RESEARCH-SCREEN-NOT-DISTRIBUTION</x:v>
      </x:c>
    </x:row>
    <x:row r="617" ht="22" customHeight="1">
      <x:c r="A617" s="136" t="str">
        <x:v>SCR-0612</x:v>
      </x:c>
      <x:c r="B617" s="143" t="n">
        <x:v>7.333333333333333e-7</x:v>
      </x:c>
      <x:c r="C617" s="143" t="n">
        <x:v>0.014076923076923077</x:v>
      </x:c>
      <x:c r="D617" s="161" t="n">
        <x:v>1</x:v>
      </x:c>
      <x:c r="E617" s="163" t="n">
        <x:v>-2650.0141149000883</x:v>
      </x:c>
      <x:c r="F617" s="163" t="n">
        <x:v>0</x:v>
      </x:c>
      <x:c r="G617" s="145" t="n">
        <x:v>0.02568517843831984</x:v>
      </x:c>
      <x:c r="H617" s="145" t="n">
        <x:v>0.5</x:v>
      </x:c>
      <x:c r="I617" s="136" t="str">
        <x:v>NONPOSITIVE-MODEL-MARGIN</x:v>
      </x:c>
      <x:c r="J617" s="136" t="str">
        <x:v>V0.7-CONTROLLED-RESEARCH-SCREEN-NOT-DISTRIBUTION</x:v>
      </x:c>
    </x:row>
    <x:row r="618" ht="22" customHeight="1">
      <x:c r="A618" s="137" t="str">
        <x:v>SCR-0613</x:v>
      </x:c>
      <x:c r="B618" s="142" t="n">
        <x:v>7.333333333333333e-7</x:v>
      </x:c>
      <x:c r="C618" s="142" t="n">
        <x:v>0.014384615384615385</x:v>
      </x:c>
      <x:c r="D618" s="160" t="n">
        <x:v>1</x:v>
      </x:c>
      <x:c r="E618" s="162" t="n">
        <x:v>-2668.2156064827827</x:v>
      </x:c>
      <x:c r="F618" s="162" t="n">
        <x:v>0</x:v>
      </x:c>
      <x:c r="G618" s="144" t="n">
        <x:v>0.025985521029346235</x:v>
      </x:c>
      <x:c r="H618" s="144" t="n">
        <x:v>0.5</x:v>
      </x:c>
      <x:c r="I618" s="137" t="str">
        <x:v>NONPOSITIVE-MODEL-MARGIN</x:v>
      </x:c>
      <x:c r="J618" s="137" t="str">
        <x:v>V0.7-CONTROLLED-RESEARCH-SCREEN-NOT-DISTRIBUTION</x:v>
      </x:c>
    </x:row>
    <x:row r="619" ht="22" customHeight="1">
      <x:c r="A619" s="136" t="str">
        <x:v>SCR-0614</x:v>
      </x:c>
      <x:c r="B619" s="143" t="n">
        <x:v>7.333333333333333e-7</x:v>
      </x:c>
      <x:c r="C619" s="143" t="n">
        <x:v>0.014692307692307692</x:v>
      </x:c>
      <x:c r="D619" s="161" t="n">
        <x:v>1</x:v>
      </x:c>
      <x:c r="E619" s="163" t="n">
        <x:v>-2686.363256207914</x:v>
      </x:c>
      <x:c r="F619" s="163" t="n">
        <x:v>0</x:v>
      </x:c>
      <x:c r="G619" s="145" t="n">
        <x:v>0.026285863620372624</x:v>
      </x:c>
      <x:c r="H619" s="145" t="n">
        <x:v>0.5</x:v>
      </x:c>
      <x:c r="I619" s="136" t="str">
        <x:v>NONPOSITIVE-MODEL-MARGIN</x:v>
      </x:c>
      <x:c r="J619" s="136" t="str">
        <x:v>V0.7-CONTROLLED-RESEARCH-SCREEN-NOT-DISTRIBUTION</x:v>
      </x:c>
    </x:row>
    <x:row r="620" ht="22" customHeight="1">
      <x:c r="A620" s="137" t="str">
        <x:v>SCR-0615</x:v>
      </x:c>
      <x:c r="B620" s="142" t="n">
        <x:v>7.333333333333333e-7</x:v>
      </x:c>
      <x:c r="C620" s="142" t="n">
        <x:v>0.015</x:v>
      </x:c>
      <x:c r="D620" s="160" t="n">
        <x:v>1</x:v>
      </x:c>
      <x:c r="E620" s="162" t="n">
        <x:v>-2704.4575279779774</x:v>
      </x:c>
      <x:c r="F620" s="162" t="n">
        <x:v>0</x:v>
      </x:c>
      <x:c r="G620" s="144" t="n">
        <x:v>0.026586206211399017</x:v>
      </x:c>
      <x:c r="H620" s="144" t="n">
        <x:v>0.5</x:v>
      </x:c>
      <x:c r="I620" s="137" t="str">
        <x:v>NONPOSITIVE-MODEL-MARGIN</x:v>
      </x:c>
      <x:c r="J620" s="137" t="str">
        <x:v>V0.7-CONTROLLED-RESEARCH-SCREEN-NOT-DISTRIBUTION</x:v>
      </x:c>
    </x:row>
    <x:row r="621" ht="22" customHeight="1">
      <x:c r="A621" s="136" t="str">
        <x:v>SCR-0616</x:v>
      </x:c>
      <x:c r="B621" s="143" t="n">
        <x:v>7.82051282051282e-7</x:v>
      </x:c>
      <x:c r="C621" s="143" t="n">
        <x:v>0.003</x:v>
      </x:c>
      <x:c r="D621" s="161" t="n">
        <x:v>79</x:v>
      </x:c>
      <x:c r="E621" s="163" t="n">
        <x:v>19011.594422172308</x:v>
      </x:c>
      <x:c r="F621" s="163" t="n">
        <x:v>19011</x:v>
      </x:c>
      <x:c r="G621" s="145" t="n">
        <x:v>0.019877284858055497</x:v>
      </x:c>
      <x:c r="H621" s="145" t="n">
        <x:v>0.11552520344234962</x:v>
      </x:c>
      <x:c r="I621" s="136" t="str">
        <x:v>POSITIVE-MODEL-MARGIN</x:v>
      </x:c>
      <x:c r="J621" s="136" t="str">
        <x:v>V0.7-CONTROLLED-RESEARCH-SCREEN-NOT-DISTRIBUTION</x:v>
      </x:c>
    </x:row>
    <x:row r="622" ht="22" customHeight="1">
      <x:c r="A622" s="137" t="str">
        <x:v>SCR-0617</x:v>
      </x:c>
      <x:c r="B622" s="142" t="n">
        <x:v>7.82051282051282e-7</x:v>
      </x:c>
      <x:c r="C622" s="142" t="n">
        <x:v>0.003307692307692308</x:v>
      </x:c>
      <x:c r="D622" s="160" t="n">
        <x:v>78</x:v>
      </x:c>
      <x:c r="E622" s="162" t="n">
        <x:v>17575.883107066646</x:v>
      </x:c>
      <x:c r="F622" s="162" t="n">
        <x:v>17575</x:v>
      </x:c>
      <x:c r="G622" s="144" t="n">
        <x:v>0.020087378130831907</x:v>
      </x:c>
      <x:c r="H622" s="144" t="n">
        <x:v>0.11701401376423189</x:v>
      </x:c>
      <x:c r="I622" s="137" t="str">
        <x:v>POSITIVE-MODEL-MARGIN</x:v>
      </x:c>
      <x:c r="J622" s="137" t="str">
        <x:v>V0.7-CONTROLLED-RESEARCH-SCREEN-NOT-DISTRIBUTION</x:v>
      </x:c>
    </x:row>
    <x:row r="623" ht="22" customHeight="1">
      <x:c r="A623" s="136" t="str">
        <x:v>SCR-0618</x:v>
      </x:c>
      <x:c r="B623" s="143" t="n">
        <x:v>7.82051282051282e-7</x:v>
      </x:c>
      <x:c r="C623" s="143" t="n">
        <x:v>0.0036153846153846154</x:v>
      </x:c>
      <x:c r="D623" s="161" t="n">
        <x:v>78</x:v>
      </x:c>
      <x:c r="E623" s="163" t="n">
        <x:v>16153.422428118418</x:v>
      </x:c>
      <x:c r="F623" s="163" t="n">
        <x:v>16153</x:v>
      </x:c>
      <x:c r="G623" s="145" t="n">
        <x:v>0.020384676490443284</x:v>
      </x:c>
      <x:c r="H623" s="145" t="n">
        <x:v>0.11851567737300808</x:v>
      </x:c>
      <x:c r="I623" s="136" t="str">
        <x:v>POSITIVE-MODEL-MARGIN</x:v>
      </x:c>
      <x:c r="J623" s="136" t="str">
        <x:v>V0.7-CONTROLLED-RESEARCH-SCREEN-NOT-DISTRIBUTION</x:v>
      </x:c>
    </x:row>
    <x:row r="624" ht="22" customHeight="1">
      <x:c r="A624" s="137" t="str">
        <x:v>SCR-0619</x:v>
      </x:c>
      <x:c r="B624" s="142" t="n">
        <x:v>7.82051282051282e-7</x:v>
      </x:c>
      <x:c r="C624" s="142" t="n">
        <x:v>0.003923076923076923</x:v>
      </x:c>
      <x:c r="D624" s="160" t="n">
        <x:v>77</x:v>
      </x:c>
      <x:c r="E624" s="162" t="n">
        <x:v>14739.578887579893</x:v>
      </x:c>
      <x:c r="F624" s="162" t="n">
        <x:v>14739</x:v>
      </x:c>
      <x:c r="G624" s="144" t="n">
        <x:v>0.020595413912996317</x:v>
      </x:c>
      <x:c r="H624" s="144" t="n">
        <x:v>0.12003391017335896</x:v>
      </x:c>
      <x:c r="I624" s="137" t="str">
        <x:v>POSITIVE-MODEL-MARGIN</x:v>
      </x:c>
      <x:c r="J624" s="137" t="str">
        <x:v>V0.7-CONTROLLED-RESEARCH-SCREEN-NOT-DISTRIBUTION</x:v>
      </x:c>
    </x:row>
    <x:row r="625" ht="22" customHeight="1">
      <x:c r="A625" s="136" t="str">
        <x:v>SCR-0620</x:v>
      </x:c>
      <x:c r="B625" s="143" t="n">
        <x:v>7.82051282051282e-7</x:v>
      </x:c>
      <x:c r="C625" s="143" t="n">
        <x:v>0.004230769230769231</x:v>
      </x:c>
      <x:c r="D625" s="161" t="n">
        <x:v>77</x:v>
      </x:c>
      <x:c r="E625" s="163" t="n">
        <x:v>13341.472940497977</x:v>
      </x:c>
      <x:c r="F625" s="163" t="n">
        <x:v>13341</x:v>
      </x:c>
      <x:c r="G625" s="145" t="n">
        <x:v>0.020892765962217567</x:v>
      </x:c>
      <x:c r="H625" s="145" t="n">
        <x:v>0.12153783350309752</x:v>
      </x:c>
      <x:c r="I625" s="136" t="str">
        <x:v>POSITIVE-MODEL-MARGIN</x:v>
      </x:c>
      <x:c r="J625" s="136" t="str">
        <x:v>V0.7-CONTROLLED-RESEARCH-SCREEN-NOT-DISTRIBUTION</x:v>
      </x:c>
    </x:row>
    <x:row r="626" ht="22" customHeight="1">
      <x:c r="A626" s="137" t="str">
        <x:v>SCR-0621</x:v>
      </x:c>
      <x:c r="B626" s="142" t="n">
        <x:v>7.82051282051282e-7</x:v>
      </x:c>
      <x:c r="C626" s="142" t="n">
        <x:v>0.004538461538461538</x:v>
      </x:c>
      <x:c r="D626" s="160" t="n">
        <x:v>76</x:v>
      </x:c>
      <x:c r="E626" s="162" t="n">
        <x:v>11957.282157148966</x:v>
      </x:c>
      <x:c r="F626" s="162" t="n">
        <x:v>11957</x:v>
      </x:c>
      <x:c r="G626" s="144" t="n">
        <x:v>0.02110412836288471</x:v>
      </x:c>
      <x:c r="H626" s="144" t="n">
        <x:v>0.12308685797698454</x:v>
      </x:c>
      <x:c r="I626" s="137" t="str">
        <x:v>POSITIVE-MODEL-MARGIN</x:v>
      </x:c>
      <x:c r="J626" s="137" t="str">
        <x:v>V0.7-CONTROLLED-RESEARCH-SCREEN-NOT-DISTRIBUTION</x:v>
      </x:c>
    </x:row>
    <x:row r="627" ht="22" customHeight="1">
      <x:c r="A627" s="136" t="str">
        <x:v>SCR-0622</x:v>
      </x:c>
      <x:c r="B627" s="143" t="n">
        <x:v>7.82051282051282e-7</x:v>
      </x:c>
      <x:c r="C627" s="143" t="n">
        <x:v>0.004846153846153846</x:v>
      </x:c>
      <x:c r="D627" s="161" t="n">
        <x:v>75</x:v>
      </x:c>
      <x:c r="E627" s="163" t="n">
        <x:v>10583.255560168825</x:v>
      </x:c>
      <x:c r="F627" s="163" t="n">
        <x:v>10583</x:v>
      </x:c>
      <x:c r="G627" s="145" t="n">
        <x:v>0.021316043288747023</x:v>
      </x:c>
      <x:c r="H627" s="145" t="n">
        <x:v>0.12466369116059368</x:v>
      </x:c>
      <x:c r="I627" s="136" t="str">
        <x:v>POSITIVE-MODEL-MARGIN</x:v>
      </x:c>
      <x:c r="J627" s="136" t="str">
        <x:v>V0.7-CONTROLLED-RESEARCH-SCREEN-NOT-DISTRIBUTION</x:v>
      </x:c>
    </x:row>
    <x:row r="628" ht="22" customHeight="1">
      <x:c r="A628" s="137" t="str">
        <x:v>SCR-0623</x:v>
      </x:c>
      <x:c r="B628" s="142" t="n">
        <x:v>7.82051282051282e-7</x:v>
      </x:c>
      <x:c r="C628" s="142" t="n">
        <x:v>0.005</x:v>
      </x:c>
      <x:c r="D628" s="160" t="n">
        <x:v>75</x:v>
      </x:c>
      <x:c r="E628" s="162" t="n">
        <x:v>9901.113164214465</x:v>
      </x:c>
      <x:c r="F628" s="162" t="n">
        <x:v>9901</x:v>
      </x:c>
      <x:c r="G628" s="144" t="n">
        <x:v>0.021464772576381623</x:v>
      </x:c>
      <x:c r="H628" s="144" t="n">
        <x:v>0.12541933349444553</x:v>
      </x:c>
      <x:c r="I628" s="137" t="str">
        <x:v>POSITIVE-MODEL-MARGIN</x:v>
      </x:c>
      <x:c r="J628" s="137" t="str">
        <x:v>V0.7-CONTROLLED-RESEARCH-SCREEN-NOT-DISTRIBUTION</x:v>
      </x:c>
    </x:row>
    <x:row r="629" ht="22" customHeight="1">
      <x:c r="A629" s="136" t="str">
        <x:v>SCR-0624</x:v>
      </x:c>
      <x:c r="B629" s="143" t="n">
        <x:v>7.82051282051282e-7</x:v>
      </x:c>
      <x:c r="C629" s="143" t="n">
        <x:v>0.005153846153846154</x:v>
      </x:c>
      <x:c r="D629" s="161" t="n">
        <x:v>75</x:v>
      </x:c>
      <x:c r="E629" s="163" t="n">
        <x:v>9224.778884513293</x:v>
      </x:c>
      <x:c r="F629" s="163" t="n">
        <x:v>9224</x:v>
      </x:c>
      <x:c r="G629" s="145" t="n">
        <x:v>0.021613501864016223</x:v>
      </x:c>
      <x:c r="H629" s="145" t="n">
        <x:v>0.126174552188169</x:v>
      </x:c>
      <x:c r="I629" s="136" t="str">
        <x:v>POSITIVE-MODEL-MARGIN</x:v>
      </x:c>
      <x:c r="J629" s="136" t="str">
        <x:v>V0.7-CONTROLLED-RESEARCH-SCREEN-NOT-DISTRIBUTION</x:v>
      </x:c>
    </x:row>
    <x:row r="630" ht="22" customHeight="1">
      <x:c r="A630" s="137" t="str">
        <x:v>SCR-0625</x:v>
      </x:c>
      <x:c r="B630" s="142" t="n">
        <x:v>7.82051282051282e-7</x:v>
      </x:c>
      <x:c r="C630" s="142" t="n">
        <x:v>0.005461538461538462</x:v>
      </x:c>
      <x:c r="D630" s="160" t="n">
        <x:v>74</x:v>
      </x:c>
      <x:c r="E630" s="162" t="n">
        <x:v>7880.6024190358185</x:v>
      </x:c>
      <x:c r="F630" s="162" t="n">
        <x:v>7880</x:v>
      </x:c>
      <x:c r="G630" s="144" t="n">
        <x:v>0.02182600319237814</x:v>
      </x:c>
      <x:c r="H630" s="144" t="n">
        <x:v>0.1277849502469662</x:v>
      </x:c>
      <x:c r="I630" s="137" t="str">
        <x:v>POSITIVE-MODEL-MARGIN</x:v>
      </x:c>
      <x:c r="J630" s="137" t="str">
        <x:v>V0.7-CONTROLLED-RESEARCH-SCREEN-NOT-DISTRIBUTION</x:v>
      </x:c>
    </x:row>
    <x:row r="631" ht="22" customHeight="1">
      <x:c r="A631" s="136" t="str">
        <x:v>SCR-0626</x:v>
      </x:c>
      <x:c r="B631" s="143" t="n">
        <x:v>7.82051282051282e-7</x:v>
      </x:c>
      <x:c r="C631" s="143" t="n">
        <x:v>0.0057692307692307696</x:v>
      </x:c>
      <x:c r="D631" s="161" t="n">
        <x:v>74</x:v>
      </x:c>
      <x:c r="E631" s="163" t="n">
        <x:v>6545.564439704471</x:v>
      </x:c>
      <x:c r="F631" s="163" t="n">
        <x:v>6545</x:v>
      </x:c>
      <x:c r="G631" s="145" t="n">
        <x:v>0.022123514626493975</x:v>
      </x:c>
      <x:c r="H631" s="145" t="n">
        <x:v>0.12929877665740225</x:v>
      </x:c>
      <x:c r="I631" s="136" t="str">
        <x:v>POSITIVE-MODEL-MARGIN</x:v>
      </x:c>
      <x:c r="J631" s="136" t="str">
        <x:v>V0.7-CONTROLLED-RESEARCH-SCREEN-NOT-DISTRIBUTION</x:v>
      </x:c>
    </x:row>
    <x:row r="632" ht="22" customHeight="1">
      <x:c r="A632" s="137" t="str">
        <x:v>SCR-0627</x:v>
      </x:c>
      <x:c r="B632" s="142" t="n">
        <x:v>7.82051282051282e-7</x:v>
      </x:c>
      <x:c r="C632" s="142" t="n">
        <x:v>0.006076923076923077</x:v>
      </x:c>
      <x:c r="D632" s="160" t="n">
        <x:v>73</x:v>
      </x:c>
      <x:c r="E632" s="162" t="n">
        <x:v>5223.703169389151</x:v>
      </x:c>
      <x:c r="F632" s="162" t="n">
        <x:v>5223</x:v>
      </x:c>
      <x:c r="G632" s="144" t="n">
        <x:v>0.0223365826189852</x:v>
      </x:c>
      <x:c r="H632" s="144" t="n">
        <x:v>0.1309443631145269</x:v>
      </x:c>
      <x:c r="I632" s="137" t="str">
        <x:v>POSITIVE-MODEL-MARGIN</x:v>
      </x:c>
      <x:c r="J632" s="137" t="str">
        <x:v>V0.7-CONTROLLED-RESEARCH-SCREEN-NOT-DISTRIBUTION</x:v>
      </x:c>
    </x:row>
    <x:row r="633" ht="22" customHeight="1">
      <x:c r="A633" s="136" t="str">
        <x:v>SCR-0628</x:v>
      </x:c>
      <x:c r="B633" s="143" t="n">
        <x:v>7.82051282051282e-7</x:v>
      </x:c>
      <x:c r="C633" s="143" t="n">
        <x:v>0.006384615384615384</x:v>
      </x:c>
      <x:c r="D633" s="161" t="n">
        <x:v>72</x:v>
      </x:c>
      <x:c r="E633" s="163" t="n">
        <x:v>3913.8546506291786</x:v>
      </x:c>
      <x:c r="F633" s="163" t="n">
        <x:v>3913</x:v>
      </x:c>
      <x:c r="G633" s="145" t="n">
        <x:v>0.02255028229114203</x:v>
      </x:c>
      <x:c r="H633" s="145" t="n">
        <x:v>0.13262338712507107</x:v>
      </x:c>
      <x:c r="I633" s="136" t="str">
        <x:v>POSITIVE-MODEL-MARGIN</x:v>
      </x:c>
      <x:c r="J633" s="136" t="str">
        <x:v>V0.7-CONTROLLED-RESEARCH-SCREEN-NOT-DISTRIBUTION</x:v>
      </x:c>
    </x:row>
    <x:row r="634" ht="22" customHeight="1">
      <x:c r="A634" s="137" t="str">
        <x:v>SCR-0629</x:v>
      </x:c>
      <x:c r="B634" s="142" t="n">
        <x:v>7.82051282051282e-7</x:v>
      </x:c>
      <x:c r="C634" s="142" t="n">
        <x:v>0.006692307692307693</x:v>
      </x:c>
      <x:c r="D634" s="160" t="n">
        <x:v>72</x:v>
      </x:c>
      <x:c r="E634" s="162" t="n">
        <x:v>2617.3625071063907</x:v>
      </x:c>
      <x:c r="F634" s="162" t="n">
        <x:v>2617</x:v>
      </x:c>
      <x:c r="G634" s="144" t="n">
        <x:v>0.022847898606336355</x:v>
      </x:c>
      <x:c r="H634" s="144" t="n">
        <x:v>0.13414552550628372</x:v>
      </x:c>
      <x:c r="I634" s="137" t="str">
        <x:v>POSITIVE-MODEL-MARGIN</x:v>
      </x:c>
      <x:c r="J634" s="137" t="str">
        <x:v>V0.7-CONTROLLED-RESEARCH-SCREEN-NOT-DISTRIBUTION</x:v>
      </x:c>
    </x:row>
    <x:row r="635" ht="22" customHeight="1">
      <x:c r="A635" s="136" t="str">
        <x:v>SCR-0630</x:v>
      </x:c>
      <x:c r="B635" s="143" t="n">
        <x:v>7.82051282051282e-7</x:v>
      </x:c>
      <x:c r="C635" s="143" t="n">
        <x:v>0.007</x:v>
      </x:c>
      <x:c r="D635" s="161" t="n">
        <x:v>71</x:v>
      </x:c>
      <x:c r="E635" s="163" t="n">
        <x:v>1335.1841069577677</x:v>
      </x:c>
      <x:c r="F635" s="163" t="n">
        <x:v>1335</x:v>
      </x:c>
      <x:c r="G635" s="145" t="n">
        <x:v>0.02306226318159036</x:v>
      </x:c>
      <x:c r="H635" s="145" t="n">
        <x:v>0.13586477363672297</x:v>
      </x:c>
      <x:c r="I635" s="136" t="str">
        <x:v>POSITIVE-MODEL-MARGIN</x:v>
      </x:c>
      <x:c r="J635" s="136" t="str">
        <x:v>V0.7-CONTROLLED-RESEARCH-SCREEN-NOT-DISTRIBUTION</x:v>
      </x:c>
    </x:row>
    <x:row r="636" ht="22" customHeight="1">
      <x:c r="A636" s="137" t="str">
        <x:v>SCR-0631</x:v>
      </x:c>
      <x:c r="B636" s="142" t="n">
        <x:v>7.82051282051282e-7</x:v>
      </x:c>
      <x:c r="C636" s="142" t="n">
        <x:v>0.007307692307692308</x:v>
      </x:c>
      <x:c r="D636" s="160" t="n">
        <x:v>70</x:v>
      </x:c>
      <x:c r="E636" s="162" t="n">
        <x:v>65.4618429759322</x:v>
      </x:c>
      <x:c r="F636" s="162" t="n">
        <x:v>65</x:v>
      </x:c>
      <x:c r="G636" s="144" t="n">
        <x:v>0.023277221473000174</x:v>
      </x:c>
      <x:c r="H636" s="144" t="n">
        <x:v>0.13762072811472645</x:v>
      </x:c>
      <x:c r="I636" s="137" t="str">
        <x:v>POSITIVE-MODEL-MARGIN</x:v>
      </x:c>
      <x:c r="J636" s="137" t="str">
        <x:v>V0.7-CONTROLLED-RESEARCH-SCREEN-NOT-DISTRIBUTION</x:v>
      </x:c>
    </x:row>
    <x:row r="637" ht="22" customHeight="1">
      <x:c r="A637" s="136" t="str">
        <x:v>SCR-0632</x:v>
      </x:c>
      <x:c r="B637" s="143" t="n">
        <x:v>7.82051282051282e-7</x:v>
      </x:c>
      <x:c r="C637" s="143" t="n">
        <x:v>0.007615384615384616</x:v>
      </x:c>
      <x:c r="D637" s="161" t="n">
        <x:v>69</x:v>
      </x:c>
      <x:c r="E637" s="163" t="n">
        <x:v>-1191.5837380166886</x:v>
      </x:c>
      <x:c r="F637" s="163" t="n">
        <x:v>0</x:v>
      </x:c>
      <x:c r="G637" s="145" t="n">
        <x:v>0.023492754352494354</x:v>
      </x:c>
      <x:c r="H637" s="145" t="n">
        <x:v>0.13941507080931786</x:v>
      </x:c>
      <x:c r="I637" s="136" t="str">
        <x:v>NONPOSITIVE-MODEL-MARGIN</x:v>
      </x:c>
      <x:c r="J637" s="136" t="str">
        <x:v>V0.7-CONTROLLED-RESEARCH-SCREEN-NOT-DISTRIBUTION</x:v>
      </x:c>
    </x:row>
    <x:row r="638" ht="22" customHeight="1">
      <x:c r="A638" s="137" t="str">
        <x:v>SCR-0633</x:v>
      </x:c>
      <x:c r="B638" s="142" t="n">
        <x:v>7.82051282051282e-7</x:v>
      </x:c>
      <x:c r="C638" s="142" t="n">
        <x:v>0.007923076923076923</x:v>
      </x:c>
      <x:c r="D638" s="160" t="n">
        <x:v>1</x:v>
      </x:c>
      <x:c r="E638" s="162" t="n">
        <x:v>-2315.1312817834573</x:v>
      </x:c>
      <x:c r="F638" s="162" t="n">
        <x:v>0</x:v>
      </x:c>
      <x:c r="G638" s="144" t="n">
        <x:v>0.020408324946947644</x:v>
      </x:c>
      <x:c r="H638" s="144" t="n">
        <x:v>0.5</x:v>
      </x:c>
      <x:c r="I638" s="137" t="str">
        <x:v>NONPOSITIVE-MODEL-MARGIN</x:v>
      </x:c>
      <x:c r="J638" s="137" t="str">
        <x:v>V0.7-CONTROLLED-RESEARCH-SCREEN-NOT-DISTRIBUTION</x:v>
      </x:c>
    </x:row>
    <x:row r="639" ht="22" customHeight="1">
      <x:c r="A639" s="136" t="str">
        <x:v>SCR-0634</x:v>
      </x:c>
      <x:c r="B639" s="143" t="n">
        <x:v>7.82051282051282e-7</x:v>
      </x:c>
      <x:c r="C639" s="143" t="n">
        <x:v>0.00823076923076923</x:v>
      </x:c>
      <x:c r="D639" s="161" t="n">
        <x:v>1</x:v>
      </x:c>
      <x:c r="E639" s="163" t="n">
        <x:v>-2334.3980171607564</x:v>
      </x:c>
      <x:c r="F639" s="163" t="n">
        <x:v>0</x:v>
      </x:c>
      <x:c r="G639" s="145" t="n">
        <x:v>0.020708211104061104</x:v>
      </x:c>
      <x:c r="H639" s="145" t="n">
        <x:v>0.5</x:v>
      </x:c>
      <x:c r="I639" s="136" t="str">
        <x:v>NONPOSITIVE-MODEL-MARGIN</x:v>
      </x:c>
      <x:c r="J639" s="136" t="str">
        <x:v>V0.7-CONTROLLED-RESEARCH-SCREEN-NOT-DISTRIBUTION</x:v>
      </x:c>
    </x:row>
    <x:row r="640" ht="22" customHeight="1">
      <x:c r="A640" s="137" t="str">
        <x:v>SCR-0635</x:v>
      </x:c>
      <x:c r="B640" s="142" t="n">
        <x:v>7.82051282051282e-7</x:v>
      </x:c>
      <x:c r="C640" s="142" t="n">
        <x:v>0.00853846153846154</x:v>
      </x:c>
      <x:c r="D640" s="160" t="n">
        <x:v>1</x:v>
      </x:c>
      <x:c r="E640" s="162" t="n">
        <x:v>-2353.6009456022693</x:v>
      </x:c>
      <x:c r="F640" s="162" t="n">
        <x:v>0</x:v>
      </x:c>
      <x:c r="G640" s="144" t="n">
        <x:v>0.021008097261174568</x:v>
      </x:c>
      <x:c r="H640" s="144" t="n">
        <x:v>0.5</x:v>
      </x:c>
      <x:c r="I640" s="137" t="str">
        <x:v>NONPOSITIVE-MODEL-MARGIN</x:v>
      </x:c>
      <x:c r="J640" s="137" t="str">
        <x:v>V0.7-CONTROLLED-RESEARCH-SCREEN-NOT-DISTRIBUTION</x:v>
      </x:c>
    </x:row>
    <x:row r="641" ht="22" customHeight="1">
      <x:c r="A641" s="136" t="str">
        <x:v>SCR-0636</x:v>
      </x:c>
      <x:c r="B641" s="143" t="n">
        <x:v>7.82051282051282e-7</x:v>
      </x:c>
      <x:c r="C641" s="143" t="n">
        <x:v>0.008846153846153847</x:v>
      </x:c>
      <x:c r="D641" s="161" t="n">
        <x:v>1</x:v>
      </x:c>
      <x:c r="E641" s="163" t="n">
        <x:v>-2372.7407047313013</x:v>
      </x:c>
      <x:c r="F641" s="163" t="n">
        <x:v>0</x:v>
      </x:c>
      <x:c r="G641" s="145" t="n">
        <x:v>0.021307983418288035</x:v>
      </x:c>
      <x:c r="H641" s="145" t="n">
        <x:v>0.5</x:v>
      </x:c>
      <x:c r="I641" s="136" t="str">
        <x:v>NONPOSITIVE-MODEL-MARGIN</x:v>
      </x:c>
      <x:c r="J641" s="136" t="str">
        <x:v>V0.7-CONTROLLED-RESEARCH-SCREEN-NOT-DISTRIBUTION</x:v>
      </x:c>
    </x:row>
    <x:row r="642" ht="22" customHeight="1">
      <x:c r="A642" s="137" t="str">
        <x:v>SCR-0637</x:v>
      </x:c>
      <x:c r="B642" s="142" t="n">
        <x:v>7.82051282051282e-7</x:v>
      </x:c>
      <x:c r="C642" s="142" t="n">
        <x:v>0.009153846153846155</x:v>
      </x:c>
      <x:c r="D642" s="160" t="n">
        <x:v>1</x:v>
      </x:c>
      <x:c r="E642" s="162" t="n">
        <x:v>-2391.817921020814</x:v>
      </x:c>
      <x:c r="F642" s="162" t="n">
        <x:v>0</x:v>
      </x:c>
      <x:c r="G642" s="144" t="n">
        <x:v>0.021607869575401492</x:v>
      </x:c>
      <x:c r="H642" s="144" t="n">
        <x:v>0.5</x:v>
      </x:c>
      <x:c r="I642" s="137" t="str">
        <x:v>NONPOSITIVE-MODEL-MARGIN</x:v>
      </x:c>
      <x:c r="J642" s="137" t="str">
        <x:v>V0.7-CONTROLLED-RESEARCH-SCREEN-NOT-DISTRIBUTION</x:v>
      </x:c>
    </x:row>
    <x:row r="643" ht="22" customHeight="1">
      <x:c r="A643" s="136" t="str">
        <x:v>SCR-0638</x:v>
      </x:c>
      <x:c r="B643" s="143" t="n">
        <x:v>7.82051282051282e-7</x:v>
      </x:c>
      <x:c r="C643" s="143" t="n">
        <x:v>0.009461538461538462</x:v>
      </x:c>
      <x:c r="D643" s="161" t="n">
        <x:v>1</x:v>
      </x:c>
      <x:c r="E643" s="163" t="n">
        <x:v>-2414.631973245473</x:v>
      </x:c>
      <x:c r="F643" s="163" t="n">
        <x:v>0</x:v>
      </x:c>
      <x:c r="G643" s="145" t="n">
        <x:v>0.021907755732514963</x:v>
      </x:c>
      <x:c r="H643" s="145" t="n">
        <x:v>0.5</x:v>
      </x:c>
      <x:c r="I643" s="136" t="str">
        <x:v>NONPOSITIVE-MODEL-MARGIN</x:v>
      </x:c>
      <x:c r="J643" s="136" t="str">
        <x:v>V0.7-CONTROLLED-RESEARCH-SCREEN-NOT-DISTRIBUTION</x:v>
      </x:c>
    </x:row>
    <x:row r="644" ht="22" customHeight="1">
      <x:c r="A644" s="137" t="str">
        <x:v>SCR-0639</x:v>
      </x:c>
      <x:c r="B644" s="142" t="n">
        <x:v>7.82051282051282e-7</x:v>
      </x:c>
      <x:c r="C644" s="142" t="n">
        <x:v>0.00976923076923077</x:v>
      </x:c>
      <x:c r="D644" s="160" t="n">
        <x:v>1</x:v>
      </x:c>
      <x:c r="E644" s="162" t="n">
        <x:v>-2433.572037208205</x:v>
      </x:c>
      <x:c r="F644" s="162" t="n">
        <x:v>0</x:v>
      </x:c>
      <x:c r="G644" s="144" t="n">
        <x:v>0.022207641889628423</x:v>
      </x:c>
      <x:c r="H644" s="144" t="n">
        <x:v>0.5</x:v>
      </x:c>
      <x:c r="I644" s="137" t="str">
        <x:v>NONPOSITIVE-MODEL-MARGIN</x:v>
      </x:c>
      <x:c r="J644" s="137" t="str">
        <x:v>V0.7-CONTROLLED-RESEARCH-SCREEN-NOT-DISTRIBUTION</x:v>
      </x:c>
    </x:row>
    <x:row r="645" ht="22" customHeight="1">
      <x:c r="A645" s="136" t="str">
        <x:v>SCR-0640</x:v>
      </x:c>
      <x:c r="B645" s="143" t="n">
        <x:v>7.82051282051282e-7</x:v>
      </x:c>
      <x:c r="C645" s="143" t="n">
        <x:v>0.010076923076923077</x:v>
      </x:c>
      <x:c r="D645" s="161" t="n">
        <x:v>1</x:v>
      </x:c>
      <x:c r="E645" s="163" t="n">
        <x:v>-2452.451554988724</x:v>
      </x:c>
      <x:c r="F645" s="163" t="n">
        <x:v>0</x:v>
      </x:c>
      <x:c r="G645" s="145" t="n">
        <x:v>0.022507528046741884</x:v>
      </x:c>
      <x:c r="H645" s="145" t="n">
        <x:v>0.5</x:v>
      </x:c>
      <x:c r="I645" s="136" t="str">
        <x:v>NONPOSITIVE-MODEL-MARGIN</x:v>
      </x:c>
      <x:c r="J645" s="136" t="str">
        <x:v>V0.7-CONTROLLED-RESEARCH-SCREEN-NOT-DISTRIBUTION</x:v>
      </x:c>
    </x:row>
    <x:row r="646" ht="22" customHeight="1">
      <x:c r="A646" s="137" t="str">
        <x:v>SCR-0641</x:v>
      </x:c>
      <x:c r="B646" s="142" t="n">
        <x:v>7.82051282051282e-7</x:v>
      </x:c>
      <x:c r="C646" s="142" t="n">
        <x:v>0.010384615384615384</x:v>
      </x:c>
      <x:c r="D646" s="160" t="n">
        <x:v>1</x:v>
      </x:c>
      <x:c r="E646" s="162" t="n">
        <x:v>-2471.2711055177706</x:v>
      </x:c>
      <x:c r="F646" s="162" t="n">
        <x:v>0</x:v>
      </x:c>
      <x:c r="G646" s="144" t="n">
        <x:v>0.022807414203855354</x:v>
      </x:c>
      <x:c r="H646" s="144" t="n">
        <x:v>0.5</x:v>
      </x:c>
      <x:c r="I646" s="137" t="str">
        <x:v>NONPOSITIVE-MODEL-MARGIN</x:v>
      </x:c>
      <x:c r="J646" s="137" t="str">
        <x:v>V0.7-CONTROLLED-RESEARCH-SCREEN-NOT-DISTRIBUTION</x:v>
      </x:c>
    </x:row>
    <x:row r="647" ht="22" customHeight="1">
      <x:c r="A647" s="136" t="str">
        <x:v>SCR-0642</x:v>
      </x:c>
      <x:c r="B647" s="143" t="n">
        <x:v>7.82051282051282e-7</x:v>
      </x:c>
      <x:c r="C647" s="143" t="n">
        <x:v>0.010692307692307692</x:v>
      </x:c>
      <x:c r="D647" s="161" t="n">
        <x:v>1</x:v>
      </x:c>
      <x:c r="E647" s="163" t="n">
        <x:v>-2490.03125772428</x:v>
      </x:c>
      <x:c r="F647" s="163" t="n">
        <x:v>0</x:v>
      </x:c>
      <x:c r="G647" s="145" t="n">
        <x:v>0.023107300360968818</x:v>
      </x:c>
      <x:c r="H647" s="145" t="n">
        <x:v>0.5</x:v>
      </x:c>
      <x:c r="I647" s="136" t="str">
        <x:v>NONPOSITIVE-MODEL-MARGIN</x:v>
      </x:c>
      <x:c r="J647" s="136" t="str">
        <x:v>V0.7-CONTROLLED-RESEARCH-SCREEN-NOT-DISTRIBUTION</x:v>
      </x:c>
    </x:row>
    <x:row r="648" ht="22" customHeight="1">
      <x:c r="A648" s="137" t="str">
        <x:v>SCR-0643</x:v>
      </x:c>
      <x:c r="B648" s="142" t="n">
        <x:v>7.82051282051282e-7</x:v>
      </x:c>
      <x:c r="C648" s="142" t="n">
        <x:v>0.011</x:v>
      </x:c>
      <x:c r="D648" s="160" t="n">
        <x:v>1</x:v>
      </x:c>
      <x:c r="E648" s="162" t="n">
        <x:v>-2508.732570723366</x:v>
      </x:c>
      <x:c r="F648" s="162" t="n">
        <x:v>0</x:v>
      </x:c>
      <x:c r="G648" s="144" t="n">
        <x:v>0.02340718651808228</x:v>
      </x:c>
      <x:c r="H648" s="144" t="n">
        <x:v>0.5</x:v>
      </x:c>
      <x:c r="I648" s="137" t="str">
        <x:v>NONPOSITIVE-MODEL-MARGIN</x:v>
      </x:c>
      <x:c r="J648" s="137" t="str">
        <x:v>V0.7-CONTROLLED-RESEARCH-SCREEN-NOT-DISTRIBUTION</x:v>
      </x:c>
    </x:row>
    <x:row r="649" ht="22" customHeight="1">
      <x:c r="A649" s="136" t="str">
        <x:v>SCR-0644</x:v>
      </x:c>
      <x:c r="B649" s="143" t="n">
        <x:v>7.82051282051282e-7</x:v>
      </x:c>
      <x:c r="C649" s="143" t="n">
        <x:v>0.011307692307692307</x:v>
      </x:c>
      <x:c r="D649" s="161" t="n">
        <x:v>1</x:v>
      </x:c>
      <x:c r="E649" s="163" t="n">
        <x:v>-2527.3755940048495</x:v>
      </x:c>
      <x:c r="F649" s="163" t="n">
        <x:v>0</x:v>
      </x:c>
      <x:c r="G649" s="145" t="n">
        <x:v>0.023707072675195746</x:v>
      </x:c>
      <x:c r="H649" s="145" t="n">
        <x:v>0.5</x:v>
      </x:c>
      <x:c r="I649" s="136" t="str">
        <x:v>NONPOSITIVE-MODEL-MARGIN</x:v>
      </x:c>
      <x:c r="J649" s="136" t="str">
        <x:v>V0.7-CONTROLLED-RESEARCH-SCREEN-NOT-DISTRIBUTION</x:v>
      </x:c>
    </x:row>
    <x:row r="650" ht="22" customHeight="1">
      <x:c r="A650" s="137" t="str">
        <x:v>SCR-0645</x:v>
      </x:c>
      <x:c r="B650" s="142" t="n">
        <x:v>7.82051282051282e-7</x:v>
      </x:c>
      <x:c r="C650" s="142" t="n">
        <x:v>0.011615384615384614</x:v>
      </x:c>
      <x:c r="D650" s="160" t="n">
        <x:v>1</x:v>
      </x:c>
      <x:c r="E650" s="162" t="n">
        <x:v>-2549.6659793384933</x:v>
      </x:c>
      <x:c r="F650" s="162" t="n">
        <x:v>0</x:v>
      </x:c>
      <x:c r="G650" s="144" t="n">
        <x:v>0.024006958832309206</x:v>
      </x:c>
      <x:c r="H650" s="144" t="n">
        <x:v>0.5</x:v>
      </x:c>
      <x:c r="I650" s="137" t="str">
        <x:v>NONPOSITIVE-MODEL-MARGIN</x:v>
      </x:c>
      <x:c r="J650" s="137" t="str">
        <x:v>V0.7-CONTROLLED-RESEARCH-SCREEN-NOT-DISTRIBUTION</x:v>
      </x:c>
    </x:row>
    <x:row r="651" ht="22" customHeight="1">
      <x:c r="A651" s="136" t="str">
        <x:v>SCR-0646</x:v>
      </x:c>
      <x:c r="B651" s="143" t="n">
        <x:v>7.82051282051282e-7</x:v>
      </x:c>
      <x:c r="C651" s="143" t="n">
        <x:v>0.011923076923076925</x:v>
      </x:c>
      <x:c r="D651" s="161" t="n">
        <x:v>1</x:v>
      </x:c>
      <x:c r="E651" s="163" t="n">
        <x:v>-2568.1813125270064</x:v>
      </x:c>
      <x:c r="F651" s="163" t="n">
        <x:v>0</x:v>
      </x:c>
      <x:c r="G651" s="145" t="n">
        <x:v>0.024306844989422666</x:v>
      </x:c>
      <x:c r="H651" s="145" t="n">
        <x:v>0.5</x:v>
      </x:c>
      <x:c r="I651" s="136" t="str">
        <x:v>NONPOSITIVE-MODEL-MARGIN</x:v>
      </x:c>
      <x:c r="J651" s="136" t="str">
        <x:v>V0.7-CONTROLLED-RESEARCH-SCREEN-NOT-DISTRIBUTION</x:v>
      </x:c>
    </x:row>
    <x:row r="652" ht="22" customHeight="1">
      <x:c r="A652" s="137" t="str">
        <x:v>SCR-0647</x:v>
      </x:c>
      <x:c r="B652" s="142" t="n">
        <x:v>7.82051282051282e-7</x:v>
      </x:c>
      <x:c r="C652" s="142" t="n">
        <x:v>0.012230769230769233</x:v>
      </x:c>
      <x:c r="D652" s="160" t="n">
        <x:v>1</x:v>
      </x:c>
      <x:c r="E652" s="162" t="n">
        <x:v>-2586.6401007276177</x:v>
      </x:c>
      <x:c r="F652" s="162" t="n">
        <x:v>0</x:v>
      </x:c>
      <x:c r="G652" s="144" t="n">
        <x:v>0.024606731146536134</x:v>
      </x:c>
      <x:c r="H652" s="144" t="n">
        <x:v>0.5</x:v>
      </x:c>
      <x:c r="I652" s="137" t="str">
        <x:v>NONPOSITIVE-MODEL-MARGIN</x:v>
      </x:c>
      <x:c r="J652" s="137" t="str">
        <x:v>V0.7-CONTROLLED-RESEARCH-SCREEN-NOT-DISTRIBUTION</x:v>
      </x:c>
    </x:row>
    <x:row r="653" ht="22" customHeight="1">
      <x:c r="A653" s="136" t="str">
        <x:v>SCR-0648</x:v>
      </x:c>
      <x:c r="B653" s="143" t="n">
        <x:v>7.82051282051282e-7</x:v>
      </x:c>
      <x:c r="C653" s="143" t="n">
        <x:v>0.01253846153846154</x:v>
      </x:c>
      <x:c r="D653" s="161" t="n">
        <x:v>1</x:v>
      </x:c>
      <x:c r="E653" s="163" t="n">
        <x:v>-2605.0428531160087</x:v>
      </x:c>
      <x:c r="F653" s="163" t="n">
        <x:v>0</x:v>
      </x:c>
      <x:c r="G653" s="145" t="n">
        <x:v>0.0249066173036496</x:v>
      </x:c>
      <x:c r="H653" s="145" t="n">
        <x:v>0.5</x:v>
      </x:c>
      <x:c r="I653" s="136" t="str">
        <x:v>NONPOSITIVE-MODEL-MARGIN</x:v>
      </x:c>
      <x:c r="J653" s="136" t="str">
        <x:v>V0.7-CONTROLLED-RESEARCH-SCREEN-NOT-DISTRIBUTION</x:v>
      </x:c>
    </x:row>
    <x:row r="654" ht="22" customHeight="1">
      <x:c r="A654" s="137" t="str">
        <x:v>SCR-0649</x:v>
      </x:c>
      <x:c r="B654" s="142" t="n">
        <x:v>7.82051282051282e-7</x:v>
      </x:c>
      <x:c r="C654" s="142" t="n">
        <x:v>0.012846153846153847</x:v>
      </x:c>
      <x:c r="D654" s="160" t="n">
        <x:v>1</x:v>
      </x:c>
      <x:c r="E654" s="162" t="n">
        <x:v>-2623.3900703057284</x:v>
      </x:c>
      <x:c r="F654" s="162" t="n">
        <x:v>0</x:v>
      </x:c>
      <x:c r="G654" s="144" t="n">
        <x:v>0.02520650346076306</x:v>
      </x:c>
      <x:c r="H654" s="144" t="n">
        <x:v>0.5</x:v>
      </x:c>
      <x:c r="I654" s="137" t="str">
        <x:v>NONPOSITIVE-MODEL-MARGIN</x:v>
      </x:c>
      <x:c r="J654" s="137" t="str">
        <x:v>V0.7-CONTROLLED-RESEARCH-SCREEN-NOT-DISTRIBUTION</x:v>
      </x:c>
    </x:row>
    <x:row r="655" ht="22" customHeight="1">
      <x:c r="A655" s="136" t="str">
        <x:v>SCR-0650</x:v>
      </x:c>
      <x:c r="B655" s="143" t="n">
        <x:v>7.82051282051282e-7</x:v>
      </x:c>
      <x:c r="C655" s="143" t="n">
        <x:v>0.013153846153846155</x:v>
      </x:c>
      <x:c r="D655" s="161" t="n">
        <x:v>1</x:v>
      </x:c>
      <x:c r="E655" s="163" t="n">
        <x:v>-2641.68224452276</x:v>
      </x:c>
      <x:c r="F655" s="163" t="n">
        <x:v>0</x:v>
      </x:c>
      <x:c r="G655" s="145" t="n">
        <x:v>0.02550638961787652</x:v>
      </x:c>
      <x:c r="H655" s="145" t="n">
        <x:v>0.5</x:v>
      </x:c>
      <x:c r="I655" s="136" t="str">
        <x:v>NONPOSITIVE-MODEL-MARGIN</x:v>
      </x:c>
      <x:c r="J655" s="136" t="str">
        <x:v>V0.7-CONTROLLED-RESEARCH-SCREEN-NOT-DISTRIBUTION</x:v>
      </x:c>
    </x:row>
    <x:row r="656" ht="22" customHeight="1">
      <x:c r="A656" s="137" t="str">
        <x:v>SCR-0651</x:v>
      </x:c>
      <x:c r="B656" s="142" t="n">
        <x:v>7.82051282051282e-7</x:v>
      </x:c>
      <x:c r="C656" s="142" t="n">
        <x:v>0.013461538461538462</x:v>
      </x:c>
      <x:c r="D656" s="160" t="n">
        <x:v>1</x:v>
      </x:c>
      <x:c r="E656" s="162" t="n">
        <x:v>-2659.9198597779346</x:v>
      </x:c>
      <x:c r="F656" s="162" t="n">
        <x:v>0</x:v>
      </x:c>
      <x:c r="G656" s="144" t="n">
        <x:v>0.02580627577498999</x:v>
      </x:c>
      <x:c r="H656" s="144" t="n">
        <x:v>0.5</x:v>
      </x:c>
      <x:c r="I656" s="137" t="str">
        <x:v>NONPOSITIVE-MODEL-MARGIN</x:v>
      </x:c>
      <x:c r="J656" s="137" t="str">
        <x:v>V0.7-CONTROLLED-RESEARCH-SCREEN-NOT-DISTRIBUTION</x:v>
      </x:c>
    </x:row>
    <x:row r="657" ht="22" customHeight="1">
      <x:c r="A657" s="136" t="str">
        <x:v>SCR-0652</x:v>
      </x:c>
      <x:c r="B657" s="143" t="n">
        <x:v>7.82051282051282e-7</x:v>
      </x:c>
      <x:c r="C657" s="143" t="n">
        <x:v>0.01376923076923077</x:v>
      </x:c>
      <x:c r="D657" s="161" t="n">
        <x:v>1</x:v>
      </x:c>
      <x:c r="E657" s="163" t="n">
        <x:v>-2678.103392036972</x:v>
      </x:c>
      <x:c r="F657" s="163" t="n">
        <x:v>0</x:v>
      </x:c>
      <x:c r="G657" s="145" t="n">
        <x:v>0.026106161932103456</x:v>
      </x:c>
      <x:c r="H657" s="145" t="n">
        <x:v>0.5</x:v>
      </x:c>
      <x:c r="I657" s="136" t="str">
        <x:v>NONPOSITIVE-MODEL-MARGIN</x:v>
      </x:c>
      <x:c r="J657" s="136" t="str">
        <x:v>V0.7-CONTROLLED-RESEARCH-SCREEN-NOT-DISTRIBUTION</x:v>
      </x:c>
    </x:row>
    <x:row r="658" ht="22" customHeight="1">
      <x:c r="A658" s="137" t="str">
        <x:v>SCR-0653</x:v>
      </x:c>
      <x:c r="B658" s="142" t="n">
        <x:v>7.82051282051282e-7</x:v>
      </x:c>
      <x:c r="C658" s="142" t="n">
        <x:v>0.014076923076923077</x:v>
      </x:c>
      <x:c r="D658" s="160" t="n">
        <x:v>1</x:v>
      </x:c>
      <x:c r="E658" s="162" t="n">
        <x:v>-2696.233309388054</x:v>
      </x:c>
      <x:c r="F658" s="162" t="n">
        <x:v>0</x:v>
      </x:c>
      <x:c r="G658" s="144" t="n">
        <x:v>0.026406048089216917</x:v>
      </x:c>
      <x:c r="H658" s="144" t="n">
        <x:v>0.5</x:v>
      </x:c>
      <x:c r="I658" s="137" t="str">
        <x:v>NONPOSITIVE-MODEL-MARGIN</x:v>
      </x:c>
      <x:c r="J658" s="137" t="str">
        <x:v>V0.7-CONTROLLED-RESEARCH-SCREEN-NOT-DISTRIBUTION</x:v>
      </x:c>
    </x:row>
    <x:row r="659" ht="22" customHeight="1">
      <x:c r="A659" s="136" t="str">
        <x:v>SCR-0654</x:v>
      </x:c>
      <x:c r="B659" s="143" t="n">
        <x:v>7.82051282051282e-7</x:v>
      </x:c>
      <x:c r="C659" s="143" t="n">
        <x:v>0.014384615384615385</x:v>
      </x:c>
      <x:c r="D659" s="161" t="n">
        <x:v>1</x:v>
      </x:c>
      <x:c r="E659" s="163" t="n">
        <x:v>-2714.3100722066456</x:v>
      </x:c>
      <x:c r="F659" s="163" t="n">
        <x:v>0</x:v>
      </x:c>
      <x:c r="G659" s="145" t="n">
        <x:v>0.026705934246330384</x:v>
      </x:c>
      <x:c r="H659" s="145" t="n">
        <x:v>0.5</x:v>
      </x:c>
      <x:c r="I659" s="136" t="str">
        <x:v>NONPOSITIVE-MODEL-MARGIN</x:v>
      </x:c>
      <x:c r="J659" s="136" t="str">
        <x:v>V0.7-CONTROLLED-RESEARCH-SCREEN-NOT-DISTRIBUTION</x:v>
      </x:c>
    </x:row>
    <x:row r="660" ht="22" customHeight="1">
      <x:c r="A660" s="137" t="str">
        <x:v>SCR-0655</x:v>
      </x:c>
      <x:c r="B660" s="142" t="n">
        <x:v>7.82051282051282e-7</x:v>
      </x:c>
      <x:c r="C660" s="142" t="n">
        <x:v>0.014692307692307692</x:v>
      </x:c>
      <x:c r="D660" s="160" t="n">
        <x:v>1</x:v>
      </x:c>
      <x:c r="E660" s="162" t="n">
        <x:v>-2732.3341333175804</x:v>
      </x:c>
      <x:c r="F660" s="162" t="n">
        <x:v>0</x:v>
      </x:c>
      <x:c r="G660" s="144" t="n">
        <x:v>0.027005820403443844</x:v>
      </x:c>
      <x:c r="H660" s="144" t="n">
        <x:v>0.5</x:v>
      </x:c>
      <x:c r="I660" s="137" t="str">
        <x:v>NONPOSITIVE-MODEL-MARGIN</x:v>
      </x:c>
      <x:c r="J660" s="137" t="str">
        <x:v>V0.7-CONTROLLED-RESEARCH-SCREEN-NOT-DISTRIBUTION</x:v>
      </x:c>
    </x:row>
    <x:row r="661" ht="22" customHeight="1">
      <x:c r="A661" s="136" t="str">
        <x:v>SCR-0656</x:v>
      </x:c>
      <x:c r="B661" s="143" t="n">
        <x:v>7.82051282051282e-7</x:v>
      </x:c>
      <x:c r="C661" s="143" t="n">
        <x:v>0.015</x:v>
      </x:c>
      <x:c r="D661" s="161" t="n">
        <x:v>1</x:v>
      </x:c>
      <x:c r="E661" s="163" t="n">
        <x:v>-2753.878912285436</x:v>
      </x:c>
      <x:c r="F661" s="163" t="n">
        <x:v>0</x:v>
      </x:c>
      <x:c r="G661" s="145" t="n">
        <x:v>0.027305706560557308</x:v>
      </x:c>
      <x:c r="H661" s="145" t="n">
        <x:v>0.5</x:v>
      </x:c>
      <x:c r="I661" s="136" t="str">
        <x:v>NONPOSITIVE-MODEL-MARGIN</x:v>
      </x:c>
      <x:c r="J661" s="136" t="str">
        <x:v>V0.7-CONTROLLED-RESEARCH-SCREEN-NOT-DISTRIBUTION</x:v>
      </x:c>
    </x:row>
    <x:row r="662" ht="22" customHeight="1">
      <x:c r="A662" s="137" t="str">
        <x:v>SCR-0657</x:v>
      </x:c>
      <x:c r="B662" s="142" t="n">
        <x:v>8.307692307692308e-7</x:v>
      </x:c>
      <x:c r="C662" s="142" t="n">
        <x:v>0.003</x:v>
      </x:c>
      <x:c r="D662" s="160" t="n">
        <x:v>75</x:v>
      </x:c>
      <x:c r="E662" s="162" t="n">
        <x:v>14271.900287353401</x:v>
      </x:c>
      <x:c r="F662" s="162" t="n">
        <x:v>14271</x:v>
      </x:c>
      <x:c r="G662" s="144" t="n">
        <x:v>0.02049595258793949</x:v>
      </x:c>
      <x:c r="H662" s="144" t="n">
        <x:v>0.12139607056398984</x:v>
      </x:c>
      <x:c r="I662" s="137" t="str">
        <x:v>POSITIVE-MODEL-MARGIN</x:v>
      </x:c>
      <x:c r="J662" s="137" t="str">
        <x:v>V0.7-CONTROLLED-RESEARCH-SCREEN-NOT-DISTRIBUTION</x:v>
      </x:c>
    </x:row>
    <x:row r="663" ht="22" customHeight="1">
      <x:c r="A663" s="136" t="str">
        <x:v>SCR-0658</x:v>
      </x:c>
      <x:c r="B663" s="143" t="n">
        <x:v>8.307692307692308e-7</x:v>
      </x:c>
      <x:c r="C663" s="143" t="n">
        <x:v>0.003307692307692308</x:v>
      </x:c>
      <x:c r="D663" s="161" t="n">
        <x:v>75</x:v>
      </x:c>
      <x:c r="E663" s="163" t="n">
        <x:v>12886.39744447298</x:v>
      </x:c>
      <x:c r="F663" s="163" t="n">
        <x:v>12886</x:v>
      </x:c>
      <x:c r="G663" s="145" t="n">
        <x:v>0.020792813970659737</x:v>
      </x:c>
      <x:c r="H663" s="145" t="n">
        <x:v>0.1229201747955645</x:v>
      </x:c>
      <x:c r="I663" s="136" t="str">
        <x:v>POSITIVE-MODEL-MARGIN</x:v>
      </x:c>
      <x:c r="J663" s="136" t="str">
        <x:v>V0.7-CONTROLLED-RESEARCH-SCREEN-NOT-DISTRIBUTION</x:v>
      </x:c>
    </x:row>
    <x:row r="664" ht="22" customHeight="1">
      <x:c r="A664" s="137" t="str">
        <x:v>SCR-0659</x:v>
      </x:c>
      <x:c r="B664" s="142" t="n">
        <x:v>8.307692307692308e-7</x:v>
      </x:c>
      <x:c r="C664" s="142" t="n">
        <x:v>0.0036153846153846154</x:v>
      </x:c>
      <x:c r="D664" s="160" t="n">
        <x:v>74</x:v>
      </x:c>
      <x:c r="E664" s="162" t="n">
        <x:v>11516.970355043548</x:v>
      </x:c>
      <x:c r="F664" s="162" t="n">
        <x:v>11516</x:v>
      </x:c>
      <x:c r="G664" s="144" t="n">
        <x:v>0.02099945118898641</x:v>
      </x:c>
      <x:c r="H664" s="144" t="n">
        <x:v>0.1245035223604932</x:v>
      </x:c>
      <x:c r="I664" s="137" t="str">
        <x:v>POSITIVE-MODEL-MARGIN</x:v>
      </x:c>
      <x:c r="J664" s="137" t="str">
        <x:v>V0.7-CONTROLLED-RESEARCH-SCREEN-NOT-DISTRIBUTION</x:v>
      </x:c>
    </x:row>
    <x:row r="665" ht="22" customHeight="1">
      <x:c r="A665" s="136" t="str">
        <x:v>SCR-0660</x:v>
      </x:c>
      <x:c r="B665" s="143" t="n">
        <x:v>8.307692307692308e-7</x:v>
      </x:c>
      <x:c r="C665" s="143" t="n">
        <x:v>0.003923076923076923</x:v>
      </x:c>
      <x:c r="D665" s="161" t="n">
        <x:v>74</x:v>
      </x:c>
      <x:c r="E665" s="163" t="n">
        <x:v>10159.320491663053</x:v>
      </x:c>
      <x:c r="F665" s="163" t="n">
        <x:v>10159</x:v>
      </x:c>
      <x:c r="G665" s="145" t="n">
        <x:v>0.021296368498757882</x:v>
      </x:c>
      <x:c r="H665" s="145" t="n">
        <x:v>0.12603058061302808</x:v>
      </x:c>
      <x:c r="I665" s="136" t="str">
        <x:v>POSITIVE-MODEL-MARGIN</x:v>
      </x:c>
      <x:c r="J665" s="136" t="str">
        <x:v>V0.7-CONTROLLED-RESEARCH-SCREEN-NOT-DISTRIBUTION</x:v>
      </x:c>
    </x:row>
    <x:row r="666" ht="22" customHeight="1">
      <x:c r="A666" s="137" t="str">
        <x:v>SCR-0661</x:v>
      </x:c>
      <x:c r="B666" s="142" t="n">
        <x:v>8.307692307692308e-7</x:v>
      </x:c>
      <x:c r="C666" s="142" t="n">
        <x:v>0.004230769230769231</x:v>
      </x:c>
      <x:c r="D666" s="160" t="n">
        <x:v>73</x:v>
      </x:c>
      <x:c r="E666" s="162" t="n">
        <x:v>8815.739078047347</x:v>
      </x:c>
      <x:c r="F666" s="162" t="n">
        <x:v>8815</x:v>
      </x:c>
      <x:c r="G666" s="144" t="n">
        <x:v>0.021503604974257552</x:v>
      </x:c>
      <x:c r="H666" s="144" t="n">
        <x:v>0.12764907681050416</x:v>
      </x:c>
      <x:c r="I666" s="137" t="str">
        <x:v>POSITIVE-MODEL-MARGIN</x:v>
      </x:c>
      <x:c r="J666" s="137" t="str">
        <x:v>V0.7-CONTROLLED-RESEARCH-SCREEN-NOT-DISTRIBUTION</x:v>
      </x:c>
    </x:row>
    <x:row r="667" ht="22" customHeight="1">
      <x:c r="A667" s="136" t="str">
        <x:v>SCR-0662</x:v>
      </x:c>
      <x:c r="B667" s="143" t="n">
        <x:v>8.307692307692308e-7</x:v>
      </x:c>
      <x:c r="C667" s="143" t="n">
        <x:v>0.004538461538461538</x:v>
      </x:c>
      <x:c r="D667" s="161" t="n">
        <x:v>73</x:v>
      </x:c>
      <x:c r="E667" s="163" t="n">
        <x:v>7481.712085472263</x:v>
      </x:c>
      <x:c r="F667" s="163" t="n">
        <x:v>7481</x:v>
      </x:c>
      <x:c r="G667" s="145" t="n">
        <x:v>0.02180057794329019</x:v>
      </x:c>
      <x:c r="H667" s="145" t="n">
        <x:v>0.12917935555229387</x:v>
      </x:c>
      <x:c r="I667" s="136" t="str">
        <x:v>POSITIVE-MODEL-MARGIN</x:v>
      </x:c>
      <x:c r="J667" s="136" t="str">
        <x:v>V0.7-CONTROLLED-RESEARCH-SCREEN-NOT-DISTRIBUTION</x:v>
      </x:c>
    </x:row>
    <x:row r="668" ht="22" customHeight="1">
      <x:c r="A668" s="137" t="str">
        <x:v>SCR-0663</x:v>
      </x:c>
      <x:c r="B668" s="142" t="n">
        <x:v>8.307692307692308e-7</x:v>
      </x:c>
      <x:c r="C668" s="142" t="n">
        <x:v>0.004846153846153846</x:v>
      </x:c>
      <x:c r="D668" s="160" t="n">
        <x:v>72</x:v>
      </x:c>
      <x:c r="E668" s="162" t="n">
        <x:v>6161.465506355267</x:v>
      </x:c>
      <x:c r="F668" s="162" t="n">
        <x:v>6161</x:v>
      </x:c>
      <x:c r="G668" s="144" t="n">
        <x:v>0.022008538285846393</x:v>
      </x:c>
      <x:c r="H668" s="144" t="n">
        <x:v>0.13083637953447172</x:v>
      </x:c>
      <x:c r="I668" s="137" t="str">
        <x:v>POSITIVE-MODEL-MARGIN</x:v>
      </x:c>
      <x:c r="J668" s="137" t="str">
        <x:v>V0.7-CONTROLLED-RESEARCH-SCREEN-NOT-DISTRIBUTION</x:v>
      </x:c>
    </x:row>
    <x:row r="669" ht="22" customHeight="1">
      <x:c r="A669" s="136" t="str">
        <x:v>SCR-0664</x:v>
      </x:c>
      <x:c r="B669" s="143" t="n">
        <x:v>8.307692307692308e-7</x:v>
      </x:c>
      <x:c r="C669" s="143" t="n">
        <x:v>0.005</x:v>
      </x:c>
      <x:c r="D669" s="161" t="n">
        <x:v>72</x:v>
      </x:c>
      <x:c r="E669" s="163" t="n">
        <x:v>5505.149548857098</x:v>
      </x:c>
      <x:c r="F669" s="163" t="n">
        <x:v>5505</x:v>
      </x:c>
      <x:c r="G669" s="145" t="n">
        <x:v>0.022157052426965414</x:v>
      </x:c>
      <x:c r="H669" s="145" t="n">
        <x:v>0.1316034776176575</x:v>
      </x:c>
      <x:c r="I669" s="136" t="str">
        <x:v>POSITIVE-MODEL-MARGIN</x:v>
      </x:c>
      <x:c r="J669" s="136" t="str">
        <x:v>V0.7-CONTROLLED-RESEARCH-SCREEN-NOT-DISTRIBUTION</x:v>
      </x:c>
    </x:row>
    <x:row r="670" ht="22" customHeight="1">
      <x:c r="A670" s="137" t="str">
        <x:v>SCR-0665</x:v>
      </x:c>
      <x:c r="B670" s="142" t="n">
        <x:v>8.307692307692308e-7</x:v>
      </x:c>
      <x:c r="C670" s="142" t="n">
        <x:v>0.005153846153846154</x:v>
      </x:c>
      <x:c r="D670" s="160" t="n">
        <x:v>71</x:v>
      </x:c>
      <x:c r="E670" s="162" t="n">
        <x:v>4852.961510756813</x:v>
      </x:c>
      <x:c r="F670" s="162" t="n">
        <x:v>4852</x:v>
      </x:c>
      <x:c r="G670" s="144" t="n">
        <x:v>0.022217146991643996</x:v>
      </x:c>
      <x:c r="H670" s="144" t="n">
        <x:v>0.13252843243474866</x:v>
      </x:c>
      <x:c r="I670" s="137" t="str">
        <x:v>POSITIVE-MODEL-MARGIN</x:v>
      </x:c>
      <x:c r="J670" s="137" t="str">
        <x:v>V0.7-CONTROLLED-RESEARCH-SCREEN-NOT-DISTRIBUTION</x:v>
      </x:c>
    </x:row>
    <x:row r="671" ht="22" customHeight="1">
      <x:c r="A671" s="136" t="str">
        <x:v>SCR-0666</x:v>
      </x:c>
      <x:c r="B671" s="143" t="n">
        <x:v>8.307692307692308e-7</x:v>
      </x:c>
      <x:c r="C671" s="143" t="n">
        <x:v>0.005461538461538462</x:v>
      </x:c>
      <x:c r="D671" s="161" t="n">
        <x:v>71</x:v>
      </x:c>
      <x:c r="E671" s="163" t="n">
        <x:v>3557.7614984108113</x:v>
      </x:c>
      <x:c r="F671" s="163" t="n">
        <x:v>3557</x:v>
      </x:c>
      <x:c r="G671" s="145" t="n">
        <x:v>0.02251423025272544</x:v>
      </x:c>
      <x:c r="H671" s="145" t="n">
        <x:v>0.1340676454969298</x:v>
      </x:c>
      <x:c r="I671" s="136" t="str">
        <x:v>POSITIVE-MODEL-MARGIN</x:v>
      </x:c>
      <x:c r="J671" s="136" t="str">
        <x:v>V0.7-CONTROLLED-RESEARCH-SCREEN-NOT-DISTRIBUTION</x:v>
      </x:c>
    </x:row>
    <x:row r="672" ht="22" customHeight="1">
      <x:c r="A672" s="137" t="str">
        <x:v>SCR-0667</x:v>
      </x:c>
      <x:c r="B672" s="142" t="n">
        <x:v>8.307692307692308e-7</x:v>
      </x:c>
      <x:c r="C672" s="142" t="n">
        <x:v>0.0057692307692307696</x:v>
      </x:c>
      <x:c r="D672" s="160" t="n">
        <x:v>70</x:v>
      </x:c>
      <x:c r="E672" s="162" t="n">
        <x:v>2276.75982095319</x:v>
      </x:c>
      <x:c r="F672" s="162" t="n">
        <x:v>2276</x:v>
      </x:c>
      <x:c r="G672" s="144" t="n">
        <x:v>0.02272352193430835</x:v>
      </x:c>
      <x:c r="H672" s="144" t="n">
        <x:v>0.13580197061195623</x:v>
      </x:c>
      <x:c r="I672" s="137" t="str">
        <x:v>POSITIVE-MODEL-MARGIN</x:v>
      </x:c>
      <x:c r="J672" s="137" t="str">
        <x:v>V0.7-CONTROLLED-RESEARCH-SCREEN-NOT-DISTRIBUTION</x:v>
      </x:c>
    </x:row>
    <x:row r="673" ht="22" customHeight="1">
      <x:c r="A673" s="136" t="str">
        <x:v>SCR-0668</x:v>
      </x:c>
      <x:c r="B673" s="143" t="n">
        <x:v>8.307692307692308e-7</x:v>
      </x:c>
      <x:c r="C673" s="143" t="n">
        <x:v>0.006076923076923077</x:v>
      </x:c>
      <x:c r="D673" s="161" t="n">
        <x:v>70</x:v>
      </x:c>
      <x:c r="E673" s="163" t="n">
        <x:v>1004.4262417212195</x:v>
      </x:c>
      <x:c r="F673" s="163" t="n">
        <x:v>1004</x:v>
      </x:c>
      <x:c r="G673" s="145" t="n">
        <x:v>0.023020659851717924</x:v>
      </x:c>
      <x:c r="H673" s="145" t="n">
        <x:v>0.13734522502465948</x:v>
      </x:c>
      <x:c r="I673" s="136" t="str">
        <x:v>POSITIVE-MODEL-MARGIN</x:v>
      </x:c>
      <x:c r="J673" s="136" t="str">
        <x:v>V0.7-CONTROLLED-RESEARCH-SCREEN-NOT-DISTRIBUTION</x:v>
      </x:c>
    </x:row>
    <x:row r="674" ht="22" customHeight="1">
      <x:c r="A674" s="137" t="str">
        <x:v>SCR-0669</x:v>
      </x:c>
      <x:c r="B674" s="142" t="n">
        <x:v>8.307692307692308e-7</x:v>
      </x:c>
      <x:c r="C674" s="142" t="n">
        <x:v>0.006384615384615384</x:v>
      </x:c>
      <x:c r="D674" s="160" t="n">
        <x:v>68</x:v>
      </x:c>
      <x:c r="E674" s="162" t="n">
        <x:v>-250.96856690731863</x:v>
      </x:c>
      <x:c r="F674" s="162" t="n">
        <x:v>0</x:v>
      </x:c>
      <x:c r="G674" s="144" t="n">
        <x:v>0.023144055382869497</x:v>
      </x:c>
      <x:c r="H674" s="144" t="n">
        <x:v>0.13938976057928393</x:v>
      </x:c>
      <x:c r="I674" s="137" t="str">
        <x:v>NONPOSITIVE-MODEL-MARGIN</x:v>
      </x:c>
      <x:c r="J674" s="137" t="str">
        <x:v>V0.7-CONTROLLED-RESEARCH-SCREEN-NOT-DISTRIBUTION</x:v>
      </x:c>
    </x:row>
    <x:row r="675" ht="22" customHeight="1">
      <x:c r="A675" s="136" t="str">
        <x:v>SCR-0670</x:v>
      </x:c>
      <x:c r="B675" s="143" t="n">
        <x:v>8.307692307692308e-7</x:v>
      </x:c>
      <x:c r="C675" s="143" t="n">
        <x:v>0.006692307692307693</x:v>
      </x:c>
      <x:c r="D675" s="161" t="n">
        <x:v>68</x:v>
      </x:c>
      <x:c r="E675" s="163" t="n">
        <x:v>-1492.4098587485314</x:v>
      </x:c>
      <x:c r="F675" s="163" t="n">
        <x:v>0</x:v>
      </x:c>
      <x:c r="G675" s="145" t="n">
        <x:v>0.02344130160177739</x:v>
      </x:c>
      <x:c r="H675" s="145" t="n">
        <x:v>0.14094520831686333</x:v>
      </x:c>
      <x:c r="I675" s="136" t="str">
        <x:v>NONPOSITIVE-MODEL-MARGIN</x:v>
      </x:c>
      <x:c r="J675" s="136" t="str">
        <x:v>V0.7-CONTROLLED-RESEARCH-SCREEN-NOT-DISTRIBUTION</x:v>
      </x:c>
    </x:row>
    <x:row r="676" ht="22" customHeight="1">
      <x:c r="A676" s="137" t="str">
        <x:v>SCR-0671</x:v>
      </x:c>
      <x:c r="B676" s="142" t="n">
        <x:v>8.307692307692308e-7</x:v>
      </x:c>
      <x:c r="C676" s="142" t="n">
        <x:v>0.007</x:v>
      </x:c>
      <x:c r="D676" s="160" t="n">
        <x:v>1</x:v>
      </x:c>
      <x:c r="E676" s="162" t="n">
        <x:v>-2306.10055323294</x:v>
      </x:c>
      <x:c r="F676" s="162" t="n">
        <x:v>0</x:v>
      </x:c>
      <x:c r="G676" s="144" t="n">
        <x:v>0.020237814544895056</x:v>
      </x:c>
      <x:c r="H676" s="144" t="n">
        <x:v>0.5</x:v>
      </x:c>
      <x:c r="I676" s="137" t="str">
        <x:v>NONPOSITIVE-MODEL-MARGIN</x:v>
      </x:c>
      <x:c r="J676" s="137" t="str">
        <x:v>V0.7-CONTROLLED-RESEARCH-SCREEN-NOT-DISTRIBUTION</x:v>
      </x:c>
    </x:row>
    <x:row r="677" ht="22" customHeight="1">
      <x:c r="A677" s="136" t="str">
        <x:v>SCR-0672</x:v>
      </x:c>
      <x:c r="B677" s="143" t="n">
        <x:v>8.307692307692308e-7</x:v>
      </x:c>
      <x:c r="C677" s="143" t="n">
        <x:v>0.007307692307692308</x:v>
      </x:c>
      <x:c r="D677" s="161" t="n">
        <x:v>1</x:v>
      </x:c>
      <x:c r="E677" s="163" t="n">
        <x:v>-2325.408611829092</x:v>
      </x:c>
      <x:c r="F677" s="163" t="n">
        <x:v>0</x:v>
      </x:c>
      <x:c r="G677" s="145" t="n">
        <x:v>0.020537245653286313</x:v>
      </x:c>
      <x:c r="H677" s="145" t="n">
        <x:v>0.5</x:v>
      </x:c>
      <x:c r="I677" s="136" t="str">
        <x:v>NONPOSITIVE-MODEL-MARGIN</x:v>
      </x:c>
      <x:c r="J677" s="136" t="str">
        <x:v>V0.7-CONTROLLED-RESEARCH-SCREEN-NOT-DISTRIBUTION</x:v>
      </x:c>
    </x:row>
    <x:row r="678" ht="22" customHeight="1">
      <x:c r="A678" s="137" t="str">
        <x:v>SCR-0673</x:v>
      </x:c>
      <x:c r="B678" s="142" t="n">
        <x:v>8.307692307692308e-7</x:v>
      </x:c>
      <x:c r="C678" s="142" t="n">
        <x:v>0.007615384615384616</x:v>
      </x:c>
      <x:c r="D678" s="160" t="n">
        <x:v>1</x:v>
      </x:c>
      <x:c r="E678" s="162" t="n">
        <x:v>-2344.652525601386</x:v>
      </x:c>
      <x:c r="F678" s="162" t="n">
        <x:v>0</x:v>
      </x:c>
      <x:c r="G678" s="144" t="n">
        <x:v>0.020836676761677567</x:v>
      </x:c>
      <x:c r="H678" s="144" t="n">
        <x:v>0.5</x:v>
      </x:c>
      <x:c r="I678" s="137" t="str">
        <x:v>NONPOSITIVE-MODEL-MARGIN</x:v>
      </x:c>
      <x:c r="J678" s="137" t="str">
        <x:v>V0.7-CONTROLLED-RESEARCH-SCREEN-NOT-DISTRIBUTION</x:v>
      </x:c>
    </x:row>
    <x:row r="679" ht="22" customHeight="1">
      <x:c r="A679" s="136" t="str">
        <x:v>SCR-0674</x:v>
      </x:c>
      <x:c r="B679" s="143" t="n">
        <x:v>8.307692307692308e-7</x:v>
      </x:c>
      <x:c r="C679" s="143" t="n">
        <x:v>0.007923076923076923</x:v>
      </x:c>
      <x:c r="D679" s="161" t="n">
        <x:v>1</x:v>
      </x:c>
      <x:c r="E679" s="163" t="n">
        <x:v>-2363.8329385697402</x:v>
      </x:c>
      <x:c r="F679" s="163" t="n">
        <x:v>0</x:v>
      </x:c>
      <x:c r="G679" s="145" t="n">
        <x:v>0.02113610787006882</x:v>
      </x:c>
      <x:c r="H679" s="145" t="n">
        <x:v>0.5</x:v>
      </x:c>
      <x:c r="I679" s="136" t="str">
        <x:v>NONPOSITIVE-MODEL-MARGIN</x:v>
      </x:c>
      <x:c r="J679" s="136" t="str">
        <x:v>V0.7-CONTROLLED-RESEARCH-SCREEN-NOT-DISTRIBUTION</x:v>
      </x:c>
    </x:row>
    <x:row r="680" ht="22" customHeight="1">
      <x:c r="A680" s="137" t="str">
        <x:v>SCR-0675</x:v>
      </x:c>
      <x:c r="B680" s="142" t="n">
        <x:v>8.307692307692308e-7</x:v>
      </x:c>
      <x:c r="C680" s="142" t="n">
        <x:v>0.00823076923076923</x:v>
      </x:c>
      <x:c r="D680" s="160" t="n">
        <x:v>1</x:v>
      </x:c>
      <x:c r="E680" s="162" t="n">
        <x:v>-2382.950483472015</x:v>
      </x:c>
      <x:c r="F680" s="162" t="n">
        <x:v>0</x:v>
      </x:c>
      <x:c r="G680" s="144" t="n">
        <x:v>0.021435538978460063</x:v>
      </x:c>
      <x:c r="H680" s="144" t="n">
        <x:v>0.5</x:v>
      </x:c>
      <x:c r="I680" s="137" t="str">
        <x:v>NONPOSITIVE-MODEL-MARGIN</x:v>
      </x:c>
      <x:c r="J680" s="137" t="str">
        <x:v>V0.7-CONTROLLED-RESEARCH-SCREEN-NOT-DISTRIBUTION</x:v>
      </x:c>
    </x:row>
    <x:row r="681" ht="22" customHeight="1">
      <x:c r="A681" s="136" t="str">
        <x:v>SCR-0676</x:v>
      </x:c>
      <x:c r="B681" s="143" t="n">
        <x:v>8.307692307692308e-7</x:v>
      </x:c>
      <x:c r="C681" s="143" t="n">
        <x:v>0.00853846153846154</x:v>
      </x:c>
      <x:c r="D681" s="161" t="n">
        <x:v>1</x:v>
      </x:c>
      <x:c r="E681" s="163" t="n">
        <x:v>-2405.8126400849615</x:v>
      </x:c>
      <x:c r="F681" s="163" t="n">
        <x:v>0</x:v>
      </x:c>
      <x:c r="G681" s="145" t="n">
        <x:v>0.021734970086851324</x:v>
      </x:c>
      <x:c r="H681" s="145" t="n">
        <x:v>0.5</x:v>
      </x:c>
      <x:c r="I681" s="136" t="str">
        <x:v>NONPOSITIVE-MODEL-MARGIN</x:v>
      </x:c>
      <x:c r="J681" s="136" t="str">
        <x:v>V0.7-CONTROLLED-RESEARCH-SCREEN-NOT-DISTRIBUTION</x:v>
      </x:c>
    </x:row>
    <x:row r="682" ht="22" customHeight="1">
      <x:c r="A682" s="137" t="str">
        <x:v>SCR-0677</x:v>
      </x:c>
      <x:c r="B682" s="142" t="n">
        <x:v>8.307692307692308e-7</x:v>
      </x:c>
      <x:c r="C682" s="142" t="n">
        <x:v>0.008846153846153847</x:v>
      </x:c>
      <x:c r="D682" s="160" t="n">
        <x:v>1</x:v>
      </x:c>
      <x:c r="E682" s="162" t="n">
        <x:v>-2424.792314301144</x:v>
      </x:c>
      <x:c r="F682" s="162" t="n">
        <x:v>0</x:v>
      </x:c>
      <x:c r="G682" s="144" t="n">
        <x:v>0.022034401195242574</x:v>
      </x:c>
      <x:c r="H682" s="144" t="n">
        <x:v>0.5</x:v>
      </x:c>
      <x:c r="I682" s="137" t="str">
        <x:v>NONPOSITIVE-MODEL-MARGIN</x:v>
      </x:c>
      <x:c r="J682" s="137" t="str">
        <x:v>V0.7-CONTROLLED-RESEARCH-SCREEN-NOT-DISTRIBUTION</x:v>
      </x:c>
    </x:row>
    <x:row r="683" ht="22" customHeight="1">
      <x:c r="A683" s="136" t="str">
        <x:v>SCR-0678</x:v>
      </x:c>
      <x:c r="B683" s="143" t="n">
        <x:v>8.307692307692308e-7</x:v>
      </x:c>
      <x:c r="C683" s="143" t="n">
        <x:v>0.009153846153846155</x:v>
      </x:c>
      <x:c r="D683" s="161" t="n">
        <x:v>1</x:v>
      </x:c>
      <x:c r="E683" s="163" t="n">
        <x:v>-2443.7111374309443</x:v>
      </x:c>
      <x:c r="F683" s="163" t="n">
        <x:v>0</x:v>
      </x:c>
      <x:c r="G683" s="145" t="n">
        <x:v>0.022333832303633824</x:v>
      </x:c>
      <x:c r="H683" s="145" t="n">
        <x:v>0.5</x:v>
      </x:c>
      <x:c r="I683" s="136" t="str">
        <x:v>NONPOSITIVE-MODEL-MARGIN</x:v>
      </x:c>
      <x:c r="J683" s="136" t="str">
        <x:v>V0.7-CONTROLLED-RESEARCH-SCREEN-NOT-DISTRIBUTION</x:v>
      </x:c>
    </x:row>
    <x:row r="684" ht="22" customHeight="1">
      <x:c r="A684" s="137" t="str">
        <x:v>SCR-0679</x:v>
      </x:c>
      <x:c r="B684" s="142" t="n">
        <x:v>8.307692307692308e-7</x:v>
      </x:c>
      <x:c r="C684" s="142" t="n">
        <x:v>0.009461538461538462</x:v>
      </x:c>
      <x:c r="D684" s="160" t="n">
        <x:v>1</x:v>
      </x:c>
      <x:c r="E684" s="162" t="n">
        <x:v>-2462.5696940541347</x:v>
      </x:c>
      <x:c r="F684" s="162" t="n">
        <x:v>0</x:v>
      </x:c>
      <x:c r="G684" s="144" t="n">
        <x:v>0.02263326341202508</x:v>
      </x:c>
      <x:c r="H684" s="144" t="n">
        <x:v>0.5</x:v>
      </x:c>
      <x:c r="I684" s="137" t="str">
        <x:v>NONPOSITIVE-MODEL-MARGIN</x:v>
      </x:c>
      <x:c r="J684" s="137" t="str">
        <x:v>V0.7-CONTROLLED-RESEARCH-SCREEN-NOT-DISTRIBUTION</x:v>
      </x:c>
    </x:row>
    <x:row r="685" ht="22" customHeight="1">
      <x:c r="A685" s="136" t="str">
        <x:v>SCR-0680</x:v>
      </x:c>
      <x:c r="B685" s="143" t="n">
        <x:v>8.307692307692308e-7</x:v>
      </x:c>
      <x:c r="C685" s="143" t="n">
        <x:v>0.00976923076923077</x:v>
      </x:c>
      <x:c r="D685" s="161" t="n">
        <x:v>1</x:v>
      </x:c>
      <x:c r="E685" s="163" t="n">
        <x:v>-2481.3685586250913</x:v>
      </x:c>
      <x:c r="F685" s="163" t="n">
        <x:v>0</x:v>
      </x:c>
      <x:c r="G685" s="145" t="n">
        <x:v>0.02293269452041633</x:v>
      </x:c>
      <x:c r="H685" s="145" t="n">
        <x:v>0.5</x:v>
      </x:c>
      <x:c r="I685" s="136" t="str">
        <x:v>NONPOSITIVE-MODEL-MARGIN</x:v>
      </x:c>
      <x:c r="J685" s="136" t="str">
        <x:v>V0.7-CONTROLLED-RESEARCH-SCREEN-NOT-DISTRIBUTION</x:v>
      </x:c>
    </x:row>
    <x:row r="686" ht="22" customHeight="1">
      <x:c r="A686" s="137" t="str">
        <x:v>SCR-0681</x:v>
      </x:c>
      <x:c r="B686" s="142" t="n">
        <x:v>8.307692307692308e-7</x:v>
      </x:c>
      <x:c r="C686" s="142" t="n">
        <x:v>0.010076923076923077</x:v>
      </x:c>
      <x:c r="D686" s="160" t="n">
        <x:v>1</x:v>
      </x:c>
      <x:c r="E686" s="162" t="n">
        <x:v>-2500.1082956622035</x:v>
      </x:c>
      <x:c r="F686" s="162" t="n">
        <x:v>0</x:v>
      </x:c>
      <x:c r="G686" s="144" t="n">
        <x:v>0.02323212562880758</x:v>
      </x:c>
      <x:c r="H686" s="144" t="n">
        <x:v>0.5</x:v>
      </x:c>
      <x:c r="I686" s="137" t="str">
        <x:v>NONPOSITIVE-MODEL-MARGIN</x:v>
      </x:c>
      <x:c r="J686" s="137" t="str">
        <x:v>V0.7-CONTROLLED-RESEARCH-SCREEN-NOT-DISTRIBUTION</x:v>
      </x:c>
    </x:row>
    <x:row r="687" ht="22" customHeight="1">
      <x:c r="A687" s="136" t="str">
        <x:v>SCR-0682</x:v>
      </x:c>
      <x:c r="B687" s="143" t="n">
        <x:v>8.307692307692308e-7</x:v>
      </x:c>
      <x:c r="C687" s="143" t="n">
        <x:v>0.010384615384615384</x:v>
      </x:c>
      <x:c r="D687" s="161" t="n">
        <x:v>1</x:v>
      </x:c>
      <x:c r="E687" s="163" t="n">
        <x:v>-2518.7894599379633</x:v>
      </x:c>
      <x:c r="F687" s="163" t="n">
        <x:v>0</x:v>
      </x:c>
      <x:c r="G687" s="145" t="n">
        <x:v>0.023531556737198842</x:v>
      </x:c>
      <x:c r="H687" s="145" t="n">
        <x:v>0.5</x:v>
      </x:c>
      <x:c r="I687" s="136" t="str">
        <x:v>NONPOSITIVE-MODEL-MARGIN</x:v>
      </x:c>
      <x:c r="J687" s="136" t="str">
        <x:v>V0.7-CONTROLLED-RESEARCH-SCREEN-NOT-DISTRIBUTION</x:v>
      </x:c>
    </x:row>
    <x:row r="688" ht="22" customHeight="1">
      <x:c r="A688" s="137" t="str">
        <x:v>SCR-0683</x:v>
      </x:c>
      <x:c r="B688" s="142" t="n">
        <x:v>8.307692307692308e-7</x:v>
      </x:c>
      <x:c r="C688" s="142" t="n">
        <x:v>0.010692307692307692</x:v>
      </x:c>
      <x:c r="D688" s="160" t="n">
        <x:v>1</x:v>
      </x:c>
      <x:c r="E688" s="162" t="n">
        <x:v>-2541.1252456647317</x:v>
      </x:c>
      <x:c r="F688" s="162" t="n">
        <x:v>0</x:v>
      </x:c>
      <x:c r="G688" s="144" t="n">
        <x:v>0.023830987845590092</x:v>
      </x:c>
      <x:c r="H688" s="144" t="n">
        <x:v>0.5</x:v>
      </x:c>
      <x:c r="I688" s="137" t="str">
        <x:v>NONPOSITIVE-MODEL-MARGIN</x:v>
      </x:c>
      <x:c r="J688" s="137" t="str">
        <x:v>V0.7-CONTROLLED-RESEARCH-SCREEN-NOT-DISTRIBUTION</x:v>
      </x:c>
    </x:row>
    <x:row r="689" ht="22" customHeight="1">
      <x:c r="A689" s="136" t="str">
        <x:v>SCR-0684</x:v>
      </x:c>
      <x:c r="B689" s="143" t="n">
        <x:v>8.307692307692308e-7</x:v>
      </x:c>
      <x:c r="C689" s="143" t="n">
        <x:v>0.011</x:v>
      </x:c>
      <x:c r="D689" s="161" t="n">
        <x:v>1</x:v>
      </x:c>
      <x:c r="E689" s="163" t="n">
        <x:v>-2559.6780974165367</x:v>
      </x:c>
      <x:c r="F689" s="163" t="n">
        <x:v>0</x:v>
      </x:c>
      <x:c r="G689" s="145" t="n">
        <x:v>0.02413041895398134</x:v>
      </x:c>
      <x:c r="H689" s="145" t="n">
        <x:v>0.5</x:v>
      </x:c>
      <x:c r="I689" s="136" t="str">
        <x:v>NONPOSITIVE-MODEL-MARGIN</x:v>
      </x:c>
      <x:c r="J689" s="136" t="str">
        <x:v>V0.7-CONTROLLED-RESEARCH-SCREEN-NOT-DISTRIBUTION</x:v>
      </x:c>
    </x:row>
    <x:row r="690" ht="22" customHeight="1">
      <x:c r="A690" s="137" t="str">
        <x:v>SCR-0685</x:v>
      </x:c>
      <x:c r="B690" s="142" t="n">
        <x:v>8.307692307692308e-7</x:v>
      </x:c>
      <x:c r="C690" s="142" t="n">
        <x:v>0.011307692307692307</x:v>
      </x:c>
      <x:c r="D690" s="160" t="n">
        <x:v>1</x:v>
      </x:c>
      <x:c r="E690" s="162" t="n">
        <x:v>-2578.1741380459052</x:v>
      </x:c>
      <x:c r="F690" s="162" t="n">
        <x:v>0</x:v>
      </x:c>
      <x:c r="G690" s="144" t="n">
        <x:v>0.0244298500623726</x:v>
      </x:c>
      <x:c r="H690" s="144" t="n">
        <x:v>0.5</x:v>
      </x:c>
      <x:c r="I690" s="137" t="str">
        <x:v>NONPOSITIVE-MODEL-MARGIN</x:v>
      </x:c>
      <x:c r="J690" s="137" t="str">
        <x:v>V0.7-CONTROLLED-RESEARCH-SCREEN-NOT-DISTRIBUTION</x:v>
      </x:c>
    </x:row>
    <x:row r="691" ht="22" customHeight="1">
      <x:c r="A691" s="136" t="str">
        <x:v>SCR-0686</x:v>
      </x:c>
      <x:c r="B691" s="143" t="n">
        <x:v>8.307692307692308e-7</x:v>
      </x:c>
      <x:c r="C691" s="143" t="n">
        <x:v>0.011615384615384614</x:v>
      </x:c>
      <x:c r="D691" s="161" t="n">
        <x:v>1</x:v>
      </x:c>
      <x:c r="E691" s="163" t="n">
        <x:v>-2596.6138814840515</x:v>
      </x:c>
      <x:c r="F691" s="163" t="n">
        <x:v>0</x:v>
      </x:c>
      <x:c r="G691" s="145" t="n">
        <x:v>0.02472928117076385</x:v>
      </x:c>
      <x:c r="H691" s="145" t="n">
        <x:v>0.5</x:v>
      </x:c>
      <x:c r="I691" s="136" t="str">
        <x:v>NONPOSITIVE-MODEL-MARGIN</x:v>
      </x:c>
      <x:c r="J691" s="136" t="str">
        <x:v>V0.7-CONTROLLED-RESEARCH-SCREEN-NOT-DISTRIBUTION</x:v>
      </x:c>
    </x:row>
    <x:row r="692" ht="22" customHeight="1">
      <x:c r="A692" s="137" t="str">
        <x:v>SCR-0687</x:v>
      </x:c>
      <x:c r="B692" s="142" t="n">
        <x:v>8.307692307692308e-7</x:v>
      </x:c>
      <x:c r="C692" s="142" t="n">
        <x:v>0.011923076923076925</x:v>
      </x:c>
      <x:c r="D692" s="160" t="n">
        <x:v>1</x:v>
      </x:c>
      <x:c r="E692" s="162" t="n">
        <x:v>-2614.9978329927444</x:v>
      </x:c>
      <x:c r="F692" s="162" t="n">
        <x:v>0</x:v>
      </x:c>
      <x:c r="G692" s="144" t="n">
        <x:v>0.0250287122791551</x:v>
      </x:c>
      <x:c r="H692" s="144" t="n">
        <x:v>0.5</x:v>
      </x:c>
      <x:c r="I692" s="137" t="str">
        <x:v>NONPOSITIVE-MODEL-MARGIN</x:v>
      </x:c>
      <x:c r="J692" s="137" t="str">
        <x:v>V0.7-CONTROLLED-RESEARCH-SCREEN-NOT-DISTRIBUTION</x:v>
      </x:c>
    </x:row>
    <x:row r="693" ht="22" customHeight="1">
      <x:c r="A693" s="136" t="str">
        <x:v>SCR-0688</x:v>
      </x:c>
      <x:c r="B693" s="143" t="n">
        <x:v>8.307692307692308e-7</x:v>
      </x:c>
      <x:c r="C693" s="143" t="n">
        <x:v>0.012230769230769233</x:v>
      </x:c>
      <x:c r="D693" s="161" t="n">
        <x:v>1</x:v>
      </x:c>
      <x:c r="E693" s="163" t="n">
        <x:v>-2633.326489340886</x:v>
      </x:c>
      <x:c r="F693" s="163" t="n">
        <x:v>0</x:v>
      </x:c>
      <x:c r="G693" s="145" t="n">
        <x:v>0.02532814338754635</x:v>
      </x:c>
      <x:c r="H693" s="145" t="n">
        <x:v>0.5</x:v>
      </x:c>
      <x:c r="I693" s="136" t="str">
        <x:v>NONPOSITIVE-MODEL-MARGIN</x:v>
      </x:c>
      <x:c r="J693" s="136" t="str">
        <x:v>V0.7-CONTROLLED-RESEARCH-SCREEN-NOT-DISTRIBUTION</x:v>
      </x:c>
    </x:row>
    <x:row r="694" ht="22" customHeight="1">
      <x:c r="A694" s="137" t="str">
        <x:v>SCR-0689</x:v>
      </x:c>
      <x:c r="B694" s="142" t="n">
        <x:v>8.307692307692308e-7</x:v>
      </x:c>
      <x:c r="C694" s="142" t="n">
        <x:v>0.01253846153846154</x:v>
      </x:c>
      <x:c r="D694" s="160" t="n">
        <x:v>1</x:v>
      </x:c>
      <x:c r="E694" s="162" t="n">
        <x:v>-2651.6003389791117</x:v>
      </x:c>
      <x:c r="F694" s="162" t="n">
        <x:v>0</x:v>
      </x:c>
      <x:c r="G694" s="144" t="n">
        <x:v>0.025627574495937607</x:v>
      </x:c>
      <x:c r="H694" s="144" t="n">
        <x:v>0.5</x:v>
      </x:c>
      <x:c r="I694" s="137" t="str">
        <x:v>NONPOSITIVE-MODEL-MARGIN</x:v>
      </x:c>
      <x:c r="J694" s="137" t="str">
        <x:v>V0.7-CONTROLLED-RESEARCH-SCREEN-NOT-DISTRIBUTION</x:v>
      </x:c>
    </x:row>
    <x:row r="695" ht="22" customHeight="1">
      <x:c r="A695" s="136" t="str">
        <x:v>SCR-0690</x:v>
      </x:c>
      <x:c r="B695" s="143" t="n">
        <x:v>8.307692307692308e-7</x:v>
      </x:c>
      <x:c r="C695" s="143" t="n">
        <x:v>0.012846153846153847</x:v>
      </x:c>
      <x:c r="D695" s="161" t="n">
        <x:v>1</x:v>
      </x:c>
      <x:c r="E695" s="163" t="n">
        <x:v>-2669.8198622120276</x:v>
      </x:c>
      <x:c r="F695" s="163" t="n">
        <x:v>0</x:v>
      </x:c>
      <x:c r="G695" s="145" t="n">
        <x:v>0.02592700560432886</x:v>
      </x:c>
      <x:c r="H695" s="145" t="n">
        <x:v>0.5</x:v>
      </x:c>
      <x:c r="I695" s="136" t="str">
        <x:v>NONPOSITIVE-MODEL-MARGIN</x:v>
      </x:c>
      <x:c r="J695" s="136" t="str">
        <x:v>V0.7-CONTROLLED-RESEARCH-SCREEN-NOT-DISTRIBUTION</x:v>
      </x:c>
    </x:row>
    <x:row r="696" ht="22" customHeight="1">
      <x:c r="A696" s="137" t="str">
        <x:v>SCR-0691</x:v>
      </x:c>
      <x:c r="B696" s="142" t="n">
        <x:v>8.307692307692308e-7</x:v>
      </x:c>
      <x:c r="C696" s="142" t="n">
        <x:v>0.013153846153846155</x:v>
      </x:c>
      <x:c r="D696" s="160" t="n">
        <x:v>1</x:v>
      </x:c>
      <x:c r="E696" s="162" t="n">
        <x:v>-2687.9855313679864</x:v>
      </x:c>
      <x:c r="F696" s="162" t="n">
        <x:v>0</x:v>
      </x:c>
      <x:c r="G696" s="144" t="n">
        <x:v>0.02622643671272011</x:v>
      </x:c>
      <x:c r="H696" s="144" t="n">
        <x:v>0.5</x:v>
      </x:c>
      <x:c r="I696" s="137" t="str">
        <x:v>NONPOSITIVE-MODEL-MARGIN</x:v>
      </x:c>
      <x:c r="J696" s="137" t="str">
        <x:v>V0.7-CONTROLLED-RESEARCH-SCREEN-NOT-DISTRIBUTION</x:v>
      </x:c>
    </x:row>
    <x:row r="697" ht="22" customHeight="1">
      <x:c r="A697" s="136" t="str">
        <x:v>SCR-0692</x:v>
      </x:c>
      <x:c r="B697" s="143" t="n">
        <x:v>8.307692307692308e-7</x:v>
      </x:c>
      <x:c r="C697" s="143" t="n">
        <x:v>0.013461538461538462</x:v>
      </x:c>
      <x:c r="D697" s="161" t="n">
        <x:v>1</x:v>
      </x:c>
      <x:c r="E697" s="163" t="n">
        <x:v>-2709.7005618175363</x:v>
      </x:c>
      <x:c r="F697" s="163" t="n">
        <x:v>0</x:v>
      </x:c>
      <x:c r="G697" s="145" t="n">
        <x:v>0.02652586782111136</x:v>
      </x:c>
      <x:c r="H697" s="145" t="n">
        <x:v>0.5</x:v>
      </x:c>
      <x:c r="I697" s="136" t="str">
        <x:v>NONPOSITIVE-MODEL-MARGIN</x:v>
      </x:c>
      <x:c r="J697" s="136" t="str">
        <x:v>V0.7-CONTROLLED-RESEARCH-SCREEN-NOT-DISTRIBUTION</x:v>
      </x:c>
    </x:row>
    <x:row r="698" ht="22" customHeight="1">
      <x:c r="A698" s="137" t="str">
        <x:v>SCR-0693</x:v>
      </x:c>
      <x:c r="B698" s="142" t="n">
        <x:v>8.307692307692308e-7</x:v>
      </x:c>
      <x:c r="C698" s="142" t="n">
        <x:v>0.01376923076923077</x:v>
      </x:c>
      <x:c r="D698" s="160" t="n">
        <x:v>1</x:v>
      </x:c>
      <x:c r="E698" s="162" t="n">
        <x:v>-2727.7483760634786</x:v>
      </x:c>
      <x:c r="F698" s="162" t="n">
        <x:v>0</x:v>
      </x:c>
      <x:c r="G698" s="144" t="n">
        <x:v>0.026825298929502618</x:v>
      </x:c>
      <x:c r="H698" s="144" t="n">
        <x:v>0.5</x:v>
      </x:c>
      <x:c r="I698" s="137" t="str">
        <x:v>NONPOSITIVE-MODEL-MARGIN</x:v>
      </x:c>
      <x:c r="J698" s="137" t="str">
        <x:v>V0.7-CONTROLLED-RESEARCH-SCREEN-NOT-DISTRIBUTION</x:v>
      </x:c>
    </x:row>
    <x:row r="699" ht="22" customHeight="1">
      <x:c r="A699" s="136" t="str">
        <x:v>SCR-0694</x:v>
      </x:c>
      <x:c r="B699" s="143" t="n">
        <x:v>8.307692307692308e-7</x:v>
      </x:c>
      <x:c r="C699" s="143" t="n">
        <x:v>0.014076923076923077</x:v>
      </x:c>
      <x:c r="D699" s="161" t="n">
        <x:v>1</x:v>
      </x:c>
      <x:c r="E699" s="163" t="n">
        <x:v>-2745.7438315257277</x:v>
      </x:c>
      <x:c r="F699" s="163" t="n">
        <x:v>0</x:v>
      </x:c>
      <x:c r="G699" s="145" t="n">
        <x:v>0.027124730037893865</x:v>
      </x:c>
      <x:c r="H699" s="145" t="n">
        <x:v>0.5</x:v>
      </x:c>
      <x:c r="I699" s="136" t="str">
        <x:v>NONPOSITIVE-MODEL-MARGIN</x:v>
      </x:c>
      <x:c r="J699" s="136" t="str">
        <x:v>V0.7-CONTROLLED-RESEARCH-SCREEN-NOT-DISTRIBUTION</x:v>
      </x:c>
    </x:row>
    <x:row r="700" ht="22" customHeight="1">
      <x:c r="A700" s="137" t="str">
        <x:v>SCR-0695</x:v>
      </x:c>
      <x:c r="B700" s="142" t="n">
        <x:v>8.307692307692308e-7</x:v>
      </x:c>
      <x:c r="C700" s="142" t="n">
        <x:v>0.014384615384615385</x:v>
      </x:c>
      <x:c r="D700" s="160" t="n">
        <x:v>1</x:v>
      </x:c>
      <x:c r="E700" s="162" t="n">
        <x:v>-2763.687367533686</x:v>
      </x:c>
      <x:c r="F700" s="162" t="n">
        <x:v>0</x:v>
      </x:c>
      <x:c r="G700" s="144" t="n">
        <x:v>0.027424161146285122</x:v>
      </x:c>
      <x:c r="H700" s="144" t="n">
        <x:v>0.5</x:v>
      </x:c>
      <x:c r="I700" s="137" t="str">
        <x:v>NONPOSITIVE-MODEL-MARGIN</x:v>
      </x:c>
      <x:c r="J700" s="137" t="str">
        <x:v>V0.7-CONTROLLED-RESEARCH-SCREEN-NOT-DISTRIBUTION</x:v>
      </x:c>
    </x:row>
    <x:row r="701" ht="22" customHeight="1">
      <x:c r="A701" s="136" t="str">
        <x:v>SCR-0696</x:v>
      </x:c>
      <x:c r="B701" s="143" t="n">
        <x:v>8.307692307692308e-7</x:v>
      </x:c>
      <x:c r="C701" s="143" t="n">
        <x:v>0.014692307692307692</x:v>
      </x:c>
      <x:c r="D701" s="161" t="n">
        <x:v>1</x:v>
      </x:c>
      <x:c r="E701" s="163" t="n">
        <x:v>-2781.579416335978</x:v>
      </x:c>
      <x:c r="F701" s="163" t="n">
        <x:v>0</x:v>
      </x:c>
      <x:c r="G701" s="145" t="n">
        <x:v>0.027723592254676372</x:v>
      </x:c>
      <x:c r="H701" s="145" t="n">
        <x:v>0.5</x:v>
      </x:c>
      <x:c r="I701" s="136" t="str">
        <x:v>NONPOSITIVE-MODEL-MARGIN</x:v>
      </x:c>
      <x:c r="J701" s="136" t="str">
        <x:v>V0.7-CONTROLLED-RESEARCH-SCREEN-NOT-DISTRIBUTION</x:v>
      </x:c>
    </x:row>
    <x:row r="702" ht="22" customHeight="1">
      <x:c r="A702" s="137" t="str">
        <x:v>SCR-0697</x:v>
      </x:c>
      <x:c r="B702" s="142" t="n">
        <x:v>8.307692307692308e-7</x:v>
      </x:c>
      <x:c r="C702" s="142" t="n">
        <x:v>0.015</x:v>
      </x:c>
      <x:c r="D702" s="160" t="n">
        <x:v>1</x:v>
      </x:c>
      <x:c r="E702" s="162" t="n">
        <x:v>-2799.4204032488947</x:v>
      </x:c>
      <x:c r="F702" s="162" t="n">
        <x:v>0</x:v>
      </x:c>
      <x:c r="G702" s="144" t="n">
        <x:v>0.028023023363067633</x:v>
      </x:c>
      <x:c r="H702" s="144" t="n">
        <x:v>0.5</x:v>
      </x:c>
      <x:c r="I702" s="137" t="str">
        <x:v>NONPOSITIVE-MODEL-MARGIN</x:v>
      </x:c>
      <x:c r="J702" s="137" t="str">
        <x:v>V0.7-CONTROLLED-RESEARCH-SCREEN-NOT-DISTRIBUTION</x:v>
      </x:c>
    </x:row>
    <x:row r="703" ht="22" customHeight="1">
      <x:c r="A703" s="136" t="str">
        <x:v>SCR-0698</x:v>
      </x:c>
      <x:c r="B703" s="143" t="n">
        <x:v>8.794871794871795e-7</x:v>
      </x:c>
      <x:c r="C703" s="143" t="n">
        <x:v>0.003</x:v>
      </x:c>
      <x:c r="D703" s="161" t="n">
        <x:v>72</x:v>
      </x:c>
      <x:c r="E703" s="163" t="n">
        <x:v>9780.78720990464</x:v>
      </x:c>
      <x:c r="F703" s="163" t="n">
        <x:v>9780</x:v>
      </x:c>
      <x:c r="G703" s="145" t="n">
        <x:v>0.02117248825594264</x:v>
      </x:c>
      <x:c r="H703" s="145" t="n">
        <x:v>0.12745335997114837</x:v>
      </x:c>
      <x:c r="I703" s="136" t="str">
        <x:v>POSITIVE-MODEL-MARGIN</x:v>
      </x:c>
      <x:c r="J703" s="136" t="str">
        <x:v>V0.7-CONTROLLED-RESEARCH-SCREEN-NOT-DISTRIBUTION</x:v>
      </x:c>
    </x:row>
    <x:row r="704" ht="22" customHeight="1">
      <x:c r="A704" s="137" t="str">
        <x:v>SCR-0699</x:v>
      </x:c>
      <x:c r="B704" s="142" t="n">
        <x:v>8.794871794871795e-7</x:v>
      </x:c>
      <x:c r="C704" s="142" t="n">
        <x:v>0.003307692307692308</x:v>
      </x:c>
      <x:c r="D704" s="160" t="n">
        <x:v>72</x:v>
      </x:c>
      <x:c r="E704" s="162" t="n">
        <x:v>8447.58218663502</x:v>
      </x:c>
      <x:c r="F704" s="162" t="n">
        <x:v>8447</x:v>
      </x:c>
      <x:c r="G704" s="144" t="n">
        <x:v>0.021468930824323083</x:v>
      </x:c>
      <x:c r="H704" s="144" t="n">
        <x:v>0.12900048043712373</x:v>
      </x:c>
      <x:c r="I704" s="137" t="str">
        <x:v>POSITIVE-MODEL-MARGIN</x:v>
      </x:c>
      <x:c r="J704" s="137" t="str">
        <x:v>V0.7-CONTROLLED-RESEARCH-SCREEN-NOT-DISTRIBUTION</x:v>
      </x:c>
    </x:row>
    <x:row r="705" ht="22" customHeight="1">
      <x:c r="A705" s="136" t="str">
        <x:v>SCR-0700</x:v>
      </x:c>
      <x:c r="B705" s="143" t="n">
        <x:v>8.794871794871795e-7</x:v>
      </x:c>
      <x:c r="C705" s="143" t="n">
        <x:v>0.0036153846153846154</x:v>
      </x:c>
      <x:c r="D705" s="161" t="n">
        <x:v>71</x:v>
      </x:c>
      <x:c r="E705" s="163" t="n">
        <x:v>7128.166886892144</x:v>
      </x:c>
      <x:c r="F705" s="163" t="n">
        <x:v>7128</x:v>
      </x:c>
      <x:c r="G705" s="145" t="n">
        <x:v>0.021671846676335343</x:v>
      </x:c>
      <x:c r="H705" s="145" t="n">
        <x:v>0.1306698159081818</x:v>
      </x:c>
      <x:c r="I705" s="136" t="str">
        <x:v>POSITIVE-MODEL-MARGIN</x:v>
      </x:c>
      <x:c r="J705" s="136" t="str">
        <x:v>V0.7-CONTROLLED-RESEARCH-SCREEN-NOT-DISTRIBUTION</x:v>
      </x:c>
    </x:row>
    <x:row r="706" ht="22" customHeight="1">
      <x:c r="A706" s="137" t="str">
        <x:v>SCR-0701</x:v>
      </x:c>
      <x:c r="B706" s="142" t="n">
        <x:v>8.794871794871795e-7</x:v>
      </x:c>
      <x:c r="C706" s="142" t="n">
        <x:v>0.003923076923076923</x:v>
      </x:c>
      <x:c r="D706" s="160" t="n">
        <x:v>70</x:v>
      </x:c>
      <x:c r="E706" s="162" t="n">
        <x:v>5820.222886277854</x:v>
      </x:c>
      <x:c r="F706" s="162" t="n">
        <x:v>5820</x:v>
      </x:c>
      <x:c r="G706" s="144" t="n">
        <x:v>0.021875424840584384</x:v>
      </x:c>
      <x:c r="H706" s="144" t="n">
        <x:v>0.13237584050938853</x:v>
      </x:c>
      <x:c r="I706" s="137" t="str">
        <x:v>POSITIVE-MODEL-MARGIN</x:v>
      </x:c>
      <x:c r="J706" s="137" t="str">
        <x:v>V0.7-CONTROLLED-RESEARCH-SCREEN-NOT-DISTRIBUTION</x:v>
      </x:c>
    </x:row>
    <x:row r="707" ht="22" customHeight="1">
      <x:c r="A707" s="136" t="str">
        <x:v>SCR-0702</x:v>
      </x:c>
      <x:c r="B707" s="143" t="n">
        <x:v>8.794871794871795e-7</x:v>
      </x:c>
      <x:c r="C707" s="143" t="n">
        <x:v>0.004230769230769231</x:v>
      </x:c>
      <x:c r="D707" s="161" t="n">
        <x:v>70</x:v>
      </x:c>
      <x:c r="E707" s="163" t="n">
        <x:v>4526.138960996748</x:v>
      </x:c>
      <x:c r="F707" s="163" t="n">
        <x:v>4526</x:v>
      </x:c>
      <x:c r="G707" s="145" t="n">
        <x:v>0.02217198301848627</x:v>
      </x:c>
      <x:c r="H707" s="145" t="n">
        <x:v>0.13393255594950237</x:v>
      </x:c>
      <x:c r="I707" s="136" t="str">
        <x:v>POSITIVE-MODEL-MARGIN</x:v>
      </x:c>
      <x:c r="J707" s="136" t="str">
        <x:v>V0.7-CONTROLLED-RESEARCH-SCREEN-NOT-DISTRIBUTION</x:v>
      </x:c>
    </x:row>
    <x:row r="708" ht="22" customHeight="1">
      <x:c r="A708" s="137" t="str">
        <x:v>SCR-0703</x:v>
      </x:c>
      <x:c r="B708" s="142" t="n">
        <x:v>8.794871794871795e-7</x:v>
      </x:c>
      <x:c r="C708" s="142" t="n">
        <x:v>0.004538461538461538</x:v>
      </x:c>
      <x:c r="D708" s="160" t="n">
        <x:v>69</x:v>
      </x:c>
      <x:c r="E708" s="162" t="n">
        <x:v>3245.531521533103</x:v>
      </x:c>
      <x:c r="F708" s="162" t="n">
        <x:v>3245</x:v>
      </x:c>
      <x:c r="G708" s="144" t="n">
        <x:v>0.022376259395720775</x:v>
      </x:c>
      <x:c r="H708" s="144" t="n">
        <x:v>0.13568300042218645</x:v>
      </x:c>
      <x:c r="I708" s="137" t="str">
        <x:v>POSITIVE-MODEL-MARGIN</x:v>
      </x:c>
      <x:c r="J708" s="137" t="str">
        <x:v>V0.7-CONTROLLED-RESEARCH-SCREEN-NOT-DISTRIBUTION</x:v>
      </x:c>
    </x:row>
    <x:row r="709" ht="22" customHeight="1">
      <x:c r="A709" s="136" t="str">
        <x:v>SCR-0704</x:v>
      </x:c>
      <x:c r="B709" s="143" t="n">
        <x:v>8.794871794871795e-7</x:v>
      </x:c>
      <x:c r="C709" s="143" t="n">
        <x:v>0.004846153846153846</x:v>
      </x:c>
      <x:c r="D709" s="161" t="n">
        <x:v>69</x:v>
      </x:c>
      <x:c r="E709" s="163" t="n">
        <x:v>1974.5068454185712</x:v>
      </x:c>
      <x:c r="F709" s="163" t="n">
        <x:v>1974</x:v>
      </x:c>
      <x:c r="G709" s="145" t="n">
        <x:v>0.022672874882714092</x:v>
      </x:c>
      <x:c r="H709" s="145" t="n">
        <x:v>0.137244083148157</x:v>
      </x:c>
      <x:c r="I709" s="136" t="str">
        <x:v>POSITIVE-MODEL-MARGIN</x:v>
      </x:c>
      <x:c r="J709" s="136" t="str">
        <x:v>V0.7-CONTROLLED-RESEARCH-SCREEN-NOT-DISTRIBUTION</x:v>
      </x:c>
    </x:row>
    <x:row r="710" ht="22" customHeight="1">
      <x:c r="A710" s="137" t="str">
        <x:v>SCR-0705</x:v>
      </x:c>
      <x:c r="B710" s="142" t="n">
        <x:v>8.794871794871795e-7</x:v>
      </x:c>
      <x:c r="C710" s="142" t="n">
        <x:v>0.005</x:v>
      </x:c>
      <x:c r="D710" s="160" t="n">
        <x:v>68</x:v>
      </x:c>
      <x:c r="E710" s="162" t="n">
        <x:v>1345.6237660994848</x:v>
      </x:c>
      <x:c r="F710" s="162" t="n">
        <x:v>1345</x:v>
      </x:c>
      <x:c r="G710" s="144" t="n">
        <x:v>0.022729646812115523</x:v>
      </x:c>
      <x:c r="H710" s="144" t="n">
        <x:v>0.13825964225766463</x:v>
      </x:c>
      <x:c r="I710" s="137" t="str">
        <x:v>POSITIVE-MODEL-MARGIN</x:v>
      </x:c>
      <x:c r="J710" s="137" t="str">
        <x:v>V0.7-CONTROLLED-RESEARCH-SCREEN-NOT-DISTRIBUTION</x:v>
      </x:c>
    </x:row>
    <x:row r="711" ht="22" customHeight="1">
      <x:c r="A711" s="136" t="str">
        <x:v>SCR-0706</x:v>
      </x:c>
      <x:c r="B711" s="143" t="n">
        <x:v>8.794871794871795e-7</x:v>
      </x:c>
      <x:c r="C711" s="143" t="n">
        <x:v>0.005153846153846154</x:v>
      </x:c>
      <x:c r="D711" s="161" t="n">
        <x:v>68</x:v>
      </x:c>
      <x:c r="E711" s="163" t="n">
        <x:v>718.7969085226979</x:v>
      </x:c>
      <x:c r="F711" s="163" t="n">
        <x:v>718</x:v>
      </x:c>
      <x:c r="G711" s="145" t="n">
        <x:v>0.0228779830050222</x:v>
      </x:c>
      <x:c r="H711" s="145" t="n">
        <x:v>0.13904315550873664</x:v>
      </x:c>
      <x:c r="I711" s="136" t="str">
        <x:v>POSITIVE-MODEL-MARGIN</x:v>
      </x:c>
      <x:c r="J711" s="136" t="str">
        <x:v>V0.7-CONTROLLED-RESEARCH-SCREEN-NOT-DISTRIBUTION</x:v>
      </x:c>
    </x:row>
    <x:row r="712" ht="22" customHeight="1">
      <x:c r="A712" s="137" t="str">
        <x:v>SCR-0707</x:v>
      </x:c>
      <x:c r="B712" s="142" t="n">
        <x:v>8.794871794871795e-7</x:v>
      </x:c>
      <x:c r="C712" s="142" t="n">
        <x:v>0.005461538461538462</x:v>
      </x:c>
      <x:c r="D712" s="160" t="n">
        <x:v>67</x:v>
      </x:c>
      <x:c r="E712" s="162" t="n">
        <x:v>-528.4666929484191</x:v>
      </x:c>
      <x:c r="F712" s="162" t="n">
        <x:v>0</x:v>
      </x:c>
      <x:c r="G712" s="144" t="n">
        <x:v>0.02308368879879365</x:v>
      </x:c>
      <x:c r="H712" s="144" t="n">
        <x:v>0.14088493032486166</x:v>
      </x:c>
      <x:c r="I712" s="137" t="str">
        <x:v>NONPOSITIVE-MODEL-MARGIN</x:v>
      </x:c>
      <x:c r="J712" s="137" t="str">
        <x:v>V0.7-CONTROLLED-RESEARCH-SCREEN-NOT-DISTRIBUTION</x:v>
      </x:c>
    </x:row>
    <x:row r="713" ht="22" customHeight="1">
      <x:c r="A713" s="136" t="str">
        <x:v>SCR-0708</x:v>
      </x:c>
      <x:c r="B713" s="143" t="n">
        <x:v>8.794871794871795e-7</x:v>
      </x:c>
      <x:c r="C713" s="143" t="n">
        <x:v>0.0057692307692307696</x:v>
      </x:c>
      <x:c r="D713" s="161" t="n">
        <x:v>67</x:v>
      </x:c>
      <x:c r="E713" s="163" t="n">
        <x:v>-1757.5109696965483</x:v>
      </x:c>
      <x:c r="F713" s="163" t="n">
        <x:v>0</x:v>
      </x:c>
      <x:c r="G713" s="145" t="n">
        <x:v>0.023380417782369524</x:v>
      </x:c>
      <x:c r="H713" s="145" t="n">
        <x:v>0.14245737023931104</x:v>
      </x:c>
      <x:c r="I713" s="136" t="str">
        <x:v>NONPOSITIVE-MODEL-MARGIN</x:v>
      </x:c>
      <x:c r="J713" s="136" t="str">
        <x:v>V0.7-CONTROLLED-RESEARCH-SCREEN-NOT-DISTRIBUTION</x:v>
      </x:c>
    </x:row>
    <x:row r="714" ht="22" customHeight="1">
      <x:c r="A714" s="137" t="str">
        <x:v>SCR-0709</x:v>
      </x:c>
      <x:c r="B714" s="142" t="n">
        <x:v>8.794871794871795e-7</x:v>
      </x:c>
      <x:c r="C714" s="142" t="n">
        <x:v>0.006076923076923077</x:v>
      </x:c>
      <x:c r="D714" s="160" t="n">
        <x:v>1</x:v>
      </x:c>
      <x:c r="E714" s="162" t="n">
        <x:v>-2297.043494872822</x:v>
      </x:c>
      <x:c r="F714" s="162" t="n">
        <x:v>0</x:v>
      </x:c>
      <x:c r="G714" s="144" t="n">
        <x:v>0.020067820825422883</x:v>
      </x:c>
      <x:c r="H714" s="144" t="n">
        <x:v>0.5</x:v>
      </x:c>
      <x:c r="I714" s="137" t="str">
        <x:v>NONPOSITIVE-MODEL-MARGIN</x:v>
      </x:c>
      <x:c r="J714" s="137" t="str">
        <x:v>V0.7-CONTROLLED-RESEARCH-SCREEN-NOT-DISTRIBUTION</x:v>
      </x:c>
    </x:row>
    <x:row r="715" ht="22" customHeight="1">
      <x:c r="A715" s="136" t="str">
        <x:v>SCR-0710</x:v>
      </x:c>
      <x:c r="B715" s="143" t="n">
        <x:v>8.794871794871795e-7</x:v>
      </x:c>
      <x:c r="C715" s="143" t="n">
        <x:v>0.006384615384615384</x:v>
      </x:c>
      <x:c r="D715" s="161" t="n">
        <x:v>1</x:v>
      </x:c>
      <x:c r="E715" s="163" t="n">
        <x:v>-2316.393040454019</x:v>
      </x:c>
      <x:c r="F715" s="163" t="n">
        <x:v>0</x:v>
      </x:c>
      <x:c r="G715" s="145" t="n">
        <x:v>0.0203667982639853</x:v>
      </x:c>
      <x:c r="H715" s="145" t="n">
        <x:v>0.5</x:v>
      </x:c>
      <x:c r="I715" s="136" t="str">
        <x:v>NONPOSITIVE-MODEL-MARGIN</x:v>
      </x:c>
      <x:c r="J715" s="136" t="str">
        <x:v>V0.7-CONTROLLED-RESEARCH-SCREEN-NOT-DISTRIBUTION</x:v>
      </x:c>
    </x:row>
    <x:row r="716" ht="22" customHeight="1">
      <x:c r="A716" s="137" t="str">
        <x:v>SCR-0711</x:v>
      </x:c>
      <x:c r="B716" s="142" t="n">
        <x:v>8.794871794871795e-7</x:v>
      </x:c>
      <x:c r="C716" s="142" t="n">
        <x:v>0.006692307692307693</x:v>
      </x:c>
      <x:c r="D716" s="160" t="n">
        <x:v>1</x:v>
      </x:c>
      <x:c r="E716" s="162" t="n">
        <x:v>-2335.6780997401875</x:v>
      </x:c>
      <x:c r="F716" s="162" t="n">
        <x:v>0</x:v>
      </x:c>
      <x:c r="G716" s="144" t="n">
        <x:v>0.020665775702547705</x:v>
      </x:c>
      <x:c r="H716" s="144" t="n">
        <x:v>0.5</x:v>
      </x:c>
      <x:c r="I716" s="137" t="str">
        <x:v>NONPOSITIVE-MODEL-MARGIN</x:v>
      </x:c>
      <x:c r="J716" s="137" t="str">
        <x:v>V0.7-CONTROLLED-RESEARCH-SCREEN-NOT-DISTRIBUTION</x:v>
      </x:c>
    </x:row>
    <x:row r="717" ht="22" customHeight="1">
      <x:c r="A717" s="136" t="str">
        <x:v>SCR-0712</x:v>
      </x:c>
      <x:c r="B717" s="143" t="n">
        <x:v>8.794871794871795e-7</x:v>
      </x:c>
      <x:c r="C717" s="143" t="n">
        <x:v>0.007</x:v>
      </x:c>
      <x:c r="D717" s="161" t="n">
        <x:v>1</x:v>
      </x:c>
      <x:c r="E717" s="163" t="n">
        <x:v>-2354.8993232323414</x:v>
      </x:c>
      <x:c r="F717" s="163" t="n">
        <x:v>0</x:v>
      </x:c>
      <x:c r="G717" s="145" t="n">
        <x:v>0.02096475314111011</x:v>
      </x:c>
      <x:c r="H717" s="145" t="n">
        <x:v>0.5</x:v>
      </x:c>
      <x:c r="I717" s="136" t="str">
        <x:v>NONPOSITIVE-MODEL-MARGIN</x:v>
      </x:c>
      <x:c r="J717" s="136" t="str">
        <x:v>V0.7-CONTROLLED-RESEARCH-SCREEN-NOT-DISTRIBUTION</x:v>
      </x:c>
    </x:row>
    <x:row r="718" ht="22" customHeight="1">
      <x:c r="A718" s="137" t="str">
        <x:v>SCR-0713</x:v>
      </x:c>
      <x:c r="B718" s="142" t="n">
        <x:v>8.794871794871795e-7</x:v>
      </x:c>
      <x:c r="C718" s="142" t="n">
        <x:v>0.007307692307692308</x:v>
      </x:c>
      <x:c r="D718" s="160" t="n">
        <x:v>1</x:v>
      </x:c>
      <x:c r="E718" s="162" t="n">
        <x:v>-2374.057350016685</x:v>
      </x:c>
      <x:c r="F718" s="162" t="n">
        <x:v>0</x:v>
      </x:c>
      <x:c r="G718" s="144" t="n">
        <x:v>0.021263730579672527</x:v>
      </x:c>
      <x:c r="H718" s="144" t="n">
        <x:v>0.5</x:v>
      </x:c>
      <x:c r="I718" s="137" t="str">
        <x:v>NONPOSITIVE-MODEL-MARGIN</x:v>
      </x:c>
      <x:c r="J718" s="137" t="str">
        <x:v>V0.7-CONTROLLED-RESEARCH-SCREEN-NOT-DISTRIBUTION</x:v>
      </x:c>
    </x:row>
    <x:row r="719" ht="22" customHeight="1">
      <x:c r="A719" s="136" t="str">
        <x:v>SCR-0714</x:v>
      </x:c>
      <x:c r="B719" s="143" t="n">
        <x:v>8.794871794871795e-7</x:v>
      </x:c>
      <x:c r="C719" s="143" t="n">
        <x:v>0.007615384615384616</x:v>
      </x:c>
      <x:c r="D719" s="161" t="n">
        <x:v>1</x:v>
      </x:c>
      <x:c r="E719" s="163" t="n">
        <x:v>-2396.967799305254</x:v>
      </x:c>
      <x:c r="F719" s="163" t="n">
        <x:v>0</x:v>
      </x:c>
      <x:c r="G719" s="145" t="n">
        <x:v>0.021562708018234938</x:v>
      </x:c>
      <x:c r="H719" s="145" t="n">
        <x:v>0.5</x:v>
      </x:c>
      <x:c r="I719" s="136" t="str">
        <x:v>NONPOSITIVE-MODEL-MARGIN</x:v>
      </x:c>
      <x:c r="J719" s="136" t="str">
        <x:v>V0.7-CONTROLLED-RESEARCH-SCREEN-NOT-DISTRIBUTION</x:v>
      </x:c>
    </x:row>
    <x:row r="720" ht="22" customHeight="1">
      <x:c r="A720" s="137" t="str">
        <x:v>SCR-0715</x:v>
      </x:c>
      <x:c r="B720" s="142" t="n">
        <x:v>8.794871794871795e-7</x:v>
      </x:c>
      <x:c r="C720" s="142" t="n">
        <x:v>0.007923076923076923</x:v>
      </x:c>
      <x:c r="D720" s="160" t="n">
        <x:v>1</x:v>
      </x:c>
      <x:c r="E720" s="162" t="n">
        <x:v>-2415.9872293448757</x:v>
      </x:c>
      <x:c r="F720" s="162" t="n">
        <x:v>0</x:v>
      </x:c>
      <x:c r="G720" s="144" t="n">
        <x:v>0.021861685456797342</x:v>
      </x:c>
      <x:c r="H720" s="144" t="n">
        <x:v>0.5</x:v>
      </x:c>
      <x:c r="I720" s="137" t="str">
        <x:v>NONPOSITIVE-MODEL-MARGIN</x:v>
      </x:c>
      <x:c r="J720" s="137" t="str">
        <x:v>V0.7-CONTROLLED-RESEARCH-SCREEN-NOT-DISTRIBUTION</x:v>
      </x:c>
    </x:row>
    <x:row r="721" ht="22" customHeight="1">
      <x:c r="A721" s="136" t="str">
        <x:v>SCR-0716</x:v>
      </x:c>
      <x:c r="B721" s="143" t="n">
        <x:v>8.794871794871795e-7</x:v>
      </x:c>
      <x:c r="C721" s="143" t="n">
        <x:v>0.00823076923076923</x:v>
      </x:c>
      <x:c r="D721" s="161" t="n">
        <x:v>1</x:v>
      </x:c>
      <x:c r="E721" s="163" t="n">
        <x:v>-2434.9455002659256</x:v>
      </x:c>
      <x:c r="F721" s="163" t="n">
        <x:v>0</x:v>
      </x:c>
      <x:c r="G721" s="145" t="n">
        <x:v>0.02216066289535975</x:v>
      </x:c>
      <x:c r="H721" s="145" t="n">
        <x:v>0.5</x:v>
      </x:c>
      <x:c r="I721" s="136" t="str">
        <x:v>NONPOSITIVE-MODEL-MARGIN</x:v>
      </x:c>
      <x:c r="J721" s="136" t="str">
        <x:v>V0.7-CONTROLLED-RESEARCH-SCREEN-NOT-DISTRIBUTION</x:v>
      </x:c>
    </x:row>
    <x:row r="722" ht="22" customHeight="1">
      <x:c r="A722" s="137" t="str">
        <x:v>SCR-0717</x:v>
      </x:c>
      <x:c r="B722" s="142" t="n">
        <x:v>8.794871794871795e-7</x:v>
      </x:c>
      <x:c r="C722" s="142" t="n">
        <x:v>0.00853846153846154</x:v>
      </x:c>
      <x:c r="D722" s="160" t="n">
        <x:v>1</x:v>
      </x:c>
      <x:c r="E722" s="162" t="n">
        <x:v>-2453.843202372767</x:v>
      </x:c>
      <x:c r="F722" s="162" t="n">
        <x:v>0</x:v>
      </x:c>
      <x:c r="G722" s="144" t="n">
        <x:v>0.022459640333922167</x:v>
      </x:c>
      <x:c r="H722" s="144" t="n">
        <x:v>0.5</x:v>
      </x:c>
      <x:c r="I722" s="137" t="str">
        <x:v>NONPOSITIVE-MODEL-MARGIN</x:v>
      </x:c>
      <x:c r="J722" s="137" t="str">
        <x:v>V0.7-CONTROLLED-RESEARCH-SCREEN-NOT-DISTRIBUTION</x:v>
      </x:c>
    </x:row>
    <x:row r="723" ht="22" customHeight="1">
      <x:c r="A723" s="136" t="str">
        <x:v>SCR-0718</x:v>
      </x:c>
      <x:c r="B723" s="143" t="n">
        <x:v>8.794871794871795e-7</x:v>
      </x:c>
      <x:c r="C723" s="143" t="n">
        <x:v>0.008846153846153847</x:v>
      </x:c>
      <x:c r="D723" s="161" t="n">
        <x:v>1</x:v>
      </x:c>
      <x:c r="E723" s="163" t="n">
        <x:v>-2472.680915719338</x:v>
      </x:c>
      <x:c r="F723" s="163" t="n">
        <x:v>0</x:v>
      </x:c>
      <x:c r="G723" s="145" t="n">
        <x:v>0.022758617772484575</x:v>
      </x:c>
      <x:c r="H723" s="145" t="n">
        <x:v>0.5</x:v>
      </x:c>
      <x:c r="I723" s="136" t="str">
        <x:v>NONPOSITIVE-MODEL-MARGIN</x:v>
      </x:c>
      <x:c r="J723" s="136" t="str">
        <x:v>V0.7-CONTROLLED-RESEARCH-SCREEN-NOT-DISTRIBUTION</x:v>
      </x:c>
    </x:row>
    <x:row r="724" ht="22" customHeight="1">
      <x:c r="A724" s="137" t="str">
        <x:v>SCR-0719</x:v>
      </x:c>
      <x:c r="B724" s="142" t="n">
        <x:v>8.794871794871795e-7</x:v>
      </x:c>
      <x:c r="C724" s="142" t="n">
        <x:v>0.009153846153846155</x:v>
      </x:c>
      <x:c r="D724" s="160" t="n">
        <x:v>1</x:v>
      </x:c>
      <x:c r="E724" s="162" t="n">
        <x:v>-2491.459210299877</x:v>
      </x:c>
      <x:c r="F724" s="162" t="n">
        <x:v>0</x:v>
      </x:c>
      <x:c r="G724" s="144" t="n">
        <x:v>0.023057595211046986</x:v>
      </x:c>
      <x:c r="H724" s="144" t="n">
        <x:v>0.5</x:v>
      </x:c>
      <x:c r="I724" s="137" t="str">
        <x:v>NONPOSITIVE-MODEL-MARGIN</x:v>
      </x:c>
      <x:c r="J724" s="137" t="str">
        <x:v>V0.7-CONTROLLED-RESEARCH-SCREEN-NOT-DISTRIBUTION</x:v>
      </x:c>
    </x:row>
    <x:row r="725" ht="22" customHeight="1">
      <x:c r="A725" s="136" t="str">
        <x:v>SCR-0720</x:v>
      </x:c>
      <x:c r="B725" s="143" t="n">
        <x:v>8.794871794871795e-7</x:v>
      </x:c>
      <x:c r="C725" s="143" t="n">
        <x:v>0.009461538461538462</x:v>
      </x:c>
      <x:c r="D725" s="161" t="n">
        <x:v>1</x:v>
      </x:c>
      <x:c r="E725" s="163" t="n">
        <x:v>-2513.911889430687</x:v>
      </x:c>
      <x:c r="F725" s="163" t="n">
        <x:v>0</x:v>
      </x:c>
      <x:c r="G725" s="145" t="n">
        <x:v>0.023356572649609393</x:v>
      </x:c>
      <x:c r="H725" s="145" t="n">
        <x:v>0.5</x:v>
      </x:c>
      <x:c r="I725" s="136" t="str">
        <x:v>NONPOSITIVE-MODEL-MARGIN</x:v>
      </x:c>
      <x:c r="J725" s="136" t="str">
        <x:v>V0.7-CONTROLLED-RESEARCH-SCREEN-NOT-DISTRIBUTION</x:v>
      </x:c>
    </x:row>
    <x:row r="726" ht="22" customHeight="1">
      <x:c r="A726" s="137" t="str">
        <x:v>SCR-0721</x:v>
      </x:c>
      <x:c r="B726" s="142" t="n">
        <x:v>8.794871794871795e-7</x:v>
      </x:c>
      <x:c r="C726" s="142" t="n">
        <x:v>0.00976923076923077</x:v>
      </x:c>
      <x:c r="D726" s="160" t="n">
        <x:v>1</x:v>
      </x:c>
      <x:c r="E726" s="162" t="n">
        <x:v>-2532.55999167225</x:v>
      </x:c>
      <x:c r="F726" s="162" t="n">
        <x:v>0</x:v>
      </x:c>
      <x:c r="G726" s="144" t="n">
        <x:v>0.0236555500881718</x:v>
      </x:c>
      <x:c r="H726" s="144" t="n">
        <x:v>0.5</x:v>
      </x:c>
      <x:c r="I726" s="137" t="str">
        <x:v>NONPOSITIVE-MODEL-MARGIN</x:v>
      </x:c>
      <x:c r="J726" s="137" t="str">
        <x:v>V0.7-CONTROLLED-RESEARCH-SCREEN-NOT-DISTRIBUTION</x:v>
      </x:c>
    </x:row>
    <x:row r="727" ht="22" customHeight="1">
      <x:c r="A727" s="136" t="str">
        <x:v>SCR-0722</x:v>
      </x:c>
      <x:c r="B727" s="143" t="n">
        <x:v>8.794871794871795e-7</x:v>
      </x:c>
      <x:c r="C727" s="143" t="n">
        <x:v>0.010076923076923077</x:v>
      </x:c>
      <x:c r="D727" s="161" t="n">
        <x:v>1</x:v>
      </x:c>
      <x:c r="E727" s="163" t="n">
        <x:v>-2551.150486347619</x:v>
      </x:c>
      <x:c r="F727" s="163" t="n">
        <x:v>0</x:v>
      </x:c>
      <x:c r="G727" s="145" t="n">
        <x:v>0.02395452752673421</x:v>
      </x:c>
      <x:c r="H727" s="145" t="n">
        <x:v>0.5</x:v>
      </x:c>
      <x:c r="I727" s="136" t="str">
        <x:v>NONPOSITIVE-MODEL-MARGIN</x:v>
      </x:c>
      <x:c r="J727" s="136" t="str">
        <x:v>V0.7-CONTROLLED-RESEARCH-SCREEN-NOT-DISTRIBUTION</x:v>
      </x:c>
    </x:row>
    <x:row r="728" ht="22" customHeight="1">
      <x:c r="A728" s="137" t="str">
        <x:v>SCR-0723</x:v>
      </x:c>
      <x:c r="B728" s="142" t="n">
        <x:v>8.794871794871795e-7</x:v>
      </x:c>
      <x:c r="C728" s="142" t="n">
        <x:v>0.010384615384615384</x:v>
      </x:c>
      <x:c r="D728" s="160" t="n">
        <x:v>1</x:v>
      </x:c>
      <x:c r="E728" s="162" t="n">
        <x:v>-2569.683901165428</x:v>
      </x:c>
      <x:c r="F728" s="162" t="n">
        <x:v>0</x:v>
      </x:c>
      <x:c r="G728" s="144" t="n">
        <x:v>0.024253504965296626</x:v>
      </x:c>
      <x:c r="H728" s="144" t="n">
        <x:v>0.5</x:v>
      </x:c>
      <x:c r="I728" s="137" t="str">
        <x:v>NONPOSITIVE-MODEL-MARGIN</x:v>
      </x:c>
      <x:c r="J728" s="137" t="str">
        <x:v>V0.7-CONTROLLED-RESEARCH-SCREEN-NOT-DISTRIBUTION</x:v>
      </x:c>
    </x:row>
    <x:row r="729" ht="22" customHeight="1">
      <x:c r="A729" s="136" t="str">
        <x:v>SCR-0724</x:v>
      </x:c>
      <x:c r="B729" s="143" t="n">
        <x:v>8.794871794871795e-7</x:v>
      </x:c>
      <x:c r="C729" s="143" t="n">
        <x:v>0.010692307692307692</x:v>
      </x:c>
      <x:c r="D729" s="161" t="n">
        <x:v>1</x:v>
      </x:c>
      <x:c r="E729" s="163" t="n">
        <x:v>-2588.1607548754737</x:v>
      </x:c>
      <x:c r="F729" s="163" t="n">
        <x:v>0</x:v>
      </x:c>
      <x:c r="G729" s="145" t="n">
        <x:v>0.024552482403859033</x:v>
      </x:c>
      <x:c r="H729" s="145" t="n">
        <x:v>0.5</x:v>
      </x:c>
      <x:c r="I729" s="136" t="str">
        <x:v>NONPOSITIVE-MODEL-MARGIN</x:v>
      </x:c>
      <x:c r="J729" s="136" t="str">
        <x:v>V0.7-CONTROLLED-RESEARCH-SCREEN-NOT-DISTRIBUTION</x:v>
      </x:c>
    </x:row>
    <x:row r="730" ht="22" customHeight="1">
      <x:c r="A730" s="137" t="str">
        <x:v>SCR-0725</x:v>
      </x:c>
      <x:c r="B730" s="142" t="n">
        <x:v>8.794871794871795e-7</x:v>
      </x:c>
      <x:c r="C730" s="142" t="n">
        <x:v>0.011</x:v>
      </x:c>
      <x:c r="D730" s="160" t="n">
        <x:v>1</x:v>
      </x:c>
      <x:c r="E730" s="162" t="n">
        <x:v>-2606.5815574491485</x:v>
      </x:c>
      <x:c r="F730" s="162" t="n">
        <x:v>0</x:v>
      </x:c>
      <x:c r="G730" s="144" t="n">
        <x:v>0.02485145984242144</x:v>
      </x:c>
      <x:c r="H730" s="144" t="n">
        <x:v>0.5</x:v>
      </x:c>
      <x:c r="I730" s="137" t="str">
        <x:v>NONPOSITIVE-MODEL-MARGIN</x:v>
      </x:c>
      <x:c r="J730" s="137" t="str">
        <x:v>V0.7-CONTROLLED-RESEARCH-SCREEN-NOT-DISTRIBUTION</x:v>
      </x:c>
    </x:row>
    <x:row r="731" ht="22" customHeight="1">
      <x:c r="A731" s="136" t="str">
        <x:v>SCR-0726</x:v>
      </x:c>
      <x:c r="B731" s="143" t="n">
        <x:v>8.794871794871795e-7</x:v>
      </x:c>
      <x:c r="C731" s="143" t="n">
        <x:v>0.011307692307692307</x:v>
      </x:c>
      <x:c r="D731" s="161" t="n">
        <x:v>1</x:v>
      </x:c>
      <x:c r="E731" s="163" t="n">
        <x:v>-2624.946810258186</x:v>
      </x:c>
      <x:c r="F731" s="163" t="n">
        <x:v>0</x:v>
      </x:c>
      <x:c r="G731" s="145" t="n">
        <x:v>0.025150437280983845</x:v>
      </x:c>
      <x:c r="H731" s="145" t="n">
        <x:v>0.5</x:v>
      </x:c>
      <x:c r="I731" s="136" t="str">
        <x:v>NONPOSITIVE-MODEL-MARGIN</x:v>
      </x:c>
      <x:c r="J731" s="136" t="str">
        <x:v>V0.7-CONTROLLED-RESEARCH-SCREEN-NOT-DISTRIBUTION</x:v>
      </x:c>
    </x:row>
    <x:row r="732" ht="22" customHeight="1">
      <x:c r="A732" s="137" t="str">
        <x:v>SCR-0727</x:v>
      </x:c>
      <x:c r="B732" s="142" t="n">
        <x:v>8.794871794871795e-7</x:v>
      </x:c>
      <x:c r="C732" s="142" t="n">
        <x:v>0.011615384615384614</x:v>
      </x:c>
      <x:c r="D732" s="160" t="n">
        <x:v>1</x:v>
      </x:c>
      <x:c r="E732" s="162" t="n">
        <x:v>-2643.2570062514146</x:v>
      </x:c>
      <x:c r="F732" s="162" t="n">
        <x:v>0</x:v>
      </x:c>
      <x:c r="G732" s="144" t="n">
        <x:v>0.02544941471954626</x:v>
      </x:c>
      <x:c r="H732" s="144" t="n">
        <x:v>0.5</x:v>
      </x:c>
      <x:c r="I732" s="137" t="str">
        <x:v>NONPOSITIVE-MODEL-MARGIN</x:v>
      </x:c>
      <x:c r="J732" s="137" t="str">
        <x:v>V0.7-CONTROLLED-RESEARCH-SCREEN-NOT-DISTRIBUTION</x:v>
      </x:c>
    </x:row>
    <x:row r="733" ht="22" customHeight="1">
      <x:c r="A733" s="136" t="str">
        <x:v>SCR-0728</x:v>
      </x:c>
      <x:c r="B733" s="143" t="n">
        <x:v>8.794871794871795e-7</x:v>
      </x:c>
      <x:c r="C733" s="143" t="n">
        <x:v>0.011923076923076925</x:v>
      </x:c>
      <x:c r="D733" s="161" t="n">
        <x:v>1</x:v>
      </x:c>
      <x:c r="E733" s="163" t="n">
        <x:v>-2661.512630129196</x:v>
      </x:c>
      <x:c r="F733" s="163" t="n">
        <x:v>0</x:v>
      </x:c>
      <x:c r="G733" s="145" t="n">
        <x:v>0.02574839215810867</x:v>
      </x:c>
      <x:c r="H733" s="145" t="n">
        <x:v>0.5</x:v>
      </x:c>
      <x:c r="I733" s="136" t="str">
        <x:v>NONPOSITIVE-MODEL-MARGIN</x:v>
      </x:c>
      <x:c r="J733" s="136" t="str">
        <x:v>V0.7-CONTROLLED-RESEARCH-SCREEN-NOT-DISTRIBUTION</x:v>
      </x:c>
    </x:row>
    <x:row r="734" ht="22" customHeight="1">
      <x:c r="A734" s="137" t="str">
        <x:v>SCR-0729</x:v>
      </x:c>
      <x:c r="B734" s="142" t="n">
        <x:v>8.794871794871795e-7</x:v>
      </x:c>
      <x:c r="C734" s="142" t="n">
        <x:v>0.012230769230769233</x:v>
      </x:c>
      <x:c r="D734" s="160" t="n">
        <x:v>1</x:v>
      </x:c>
      <x:c r="E734" s="162" t="n">
        <x:v>-2683.3356043958574</x:v>
      </x:c>
      <x:c r="F734" s="162" t="n">
        <x:v>0</x:v>
      </x:c>
      <x:c r="G734" s="144" t="n">
        <x:v>0.026047369596671085</x:v>
      </x:c>
      <x:c r="H734" s="144" t="n">
        <x:v>0.5</x:v>
      </x:c>
      <x:c r="I734" s="137" t="str">
        <x:v>NONPOSITIVE-MODEL-MARGIN</x:v>
      </x:c>
      <x:c r="J734" s="137" t="str">
        <x:v>V0.7-CONTROLLED-RESEARCH-SCREEN-NOT-DISTRIBUTION</x:v>
      </x:c>
    </x:row>
    <x:row r="735" ht="22" customHeight="1">
      <x:c r="A735" s="136" t="str">
        <x:v>SCR-0730</x:v>
      </x:c>
      <x:c r="B735" s="143" t="n">
        <x:v>8.794871794871795e-7</x:v>
      </x:c>
      <x:c r="C735" s="143" t="n">
        <x:v>0.01253846153846154</x:v>
      </x:c>
      <x:c r="D735" s="161" t="n">
        <x:v>1</x:v>
      </x:c>
      <x:c r="E735" s="163" t="n">
        <x:v>-2701.4717861417726</x:v>
      </x:c>
      <x:c r="F735" s="163" t="n">
        <x:v>0</x:v>
      </x:c>
      <x:c r="G735" s="145" t="n">
        <x:v>0.026346347035233492</x:v>
      </x:c>
      <x:c r="H735" s="145" t="n">
        <x:v>0.5</x:v>
      </x:c>
      <x:c r="I735" s="136" t="str">
        <x:v>NONPOSITIVE-MODEL-MARGIN</x:v>
      </x:c>
      <x:c r="J735" s="136" t="str">
        <x:v>V0.7-CONTROLLED-RESEARCH-SCREEN-NOT-DISTRIBUTION</x:v>
      </x:c>
    </x:row>
    <x:row r="736" ht="22" customHeight="1">
      <x:c r="A736" s="137" t="str">
        <x:v>SCR-0731</x:v>
      </x:c>
      <x:c r="B736" s="142" t="n">
        <x:v>8.794871794871795e-7</x:v>
      </x:c>
      <x:c r="C736" s="142" t="n">
        <x:v>0.012846153846153847</x:v>
      </x:c>
      <x:c r="D736" s="160" t="n">
        <x:v>1</x:v>
      </x:c>
      <x:c r="E736" s="162" t="n">
        <x:v>-2719.554930779214</x:v>
      </x:c>
      <x:c r="F736" s="162" t="n">
        <x:v>0</x:v>
      </x:c>
      <x:c r="G736" s="144" t="n">
        <x:v>0.0266453244737959</x:v>
      </x:c>
      <x:c r="H736" s="144" t="n">
        <x:v>0.5</x:v>
      </x:c>
      <x:c r="I736" s="137" t="str">
        <x:v>NONPOSITIVE-MODEL-MARGIN</x:v>
      </x:c>
      <x:c r="J736" s="137" t="str">
        <x:v>V0.7-CONTROLLED-RESEARCH-SCREEN-NOT-DISTRIBUTION</x:v>
      </x:c>
    </x:row>
    <x:row r="737" ht="22" customHeight="1">
      <x:c r="A737" s="136" t="str">
        <x:v>SCR-0732</x:v>
      </x:c>
      <x:c r="B737" s="143" t="n">
        <x:v>8.794871794871795e-7</x:v>
      </x:c>
      <x:c r="C737" s="143" t="n">
        <x:v>0.013153846153846155</x:v>
      </x:c>
      <x:c r="D737" s="161" t="n">
        <x:v>1</x:v>
      </x:c>
      <x:c r="E737" s="163" t="n">
        <x:v>-2737.5854888330664</x:v>
      </x:c>
      <x:c r="F737" s="163" t="n">
        <x:v>0</x:v>
      </x:c>
      <x:c r="G737" s="145" t="n">
        <x:v>0.026944301912358314</x:v>
      </x:c>
      <x:c r="H737" s="145" t="n">
        <x:v>0.5</x:v>
      </x:c>
      <x:c r="I737" s="136" t="str">
        <x:v>NONPOSITIVE-MODEL-MARGIN</x:v>
      </x:c>
      <x:c r="J737" s="136" t="str">
        <x:v>V0.7-CONTROLLED-RESEARCH-SCREEN-NOT-DISTRIBUTION</x:v>
      </x:c>
    </x:row>
    <x:row r="738" ht="22" customHeight="1">
      <x:c r="A738" s="137" t="str">
        <x:v>SCR-0733</x:v>
      </x:c>
      <x:c r="B738" s="142" t="n">
        <x:v>8.794871794871795e-7</x:v>
      </x:c>
      <x:c r="C738" s="142" t="n">
        <x:v>0.013461538461538462</x:v>
      </x:c>
      <x:c r="D738" s="160" t="n">
        <x:v>1</x:v>
      </x:c>
      <x:c r="E738" s="162" t="n">
        <x:v>-2755.563903506923</x:v>
      </x:c>
      <x:c r="F738" s="162" t="n">
        <x:v>0</x:v>
      </x:c>
      <x:c r="G738" s="144" t="n">
        <x:v>0.027243279350920722</x:v>
      </x:c>
      <x:c r="H738" s="144" t="n">
        <x:v>0.5</x:v>
      </x:c>
      <x:c r="I738" s="137" t="str">
        <x:v>NONPOSITIVE-MODEL-MARGIN</x:v>
      </x:c>
      <x:c r="J738" s="137" t="str">
        <x:v>V0.7-CONTROLLED-RESEARCH-SCREEN-NOT-DISTRIBUTION</x:v>
      </x:c>
    </x:row>
    <x:row r="739" ht="22" customHeight="1">
      <x:c r="A739" s="136" t="str">
        <x:v>SCR-0734</x:v>
      </x:c>
      <x:c r="B739" s="143" t="n">
        <x:v>8.794871794871795e-7</x:v>
      </x:c>
      <x:c r="C739" s="143" t="n">
        <x:v>0.01376923076923077</x:v>
      </x:c>
      <x:c r="D739" s="161" t="n">
        <x:v>1</x:v>
      </x:c>
      <x:c r="E739" s="163" t="n">
        <x:v>-2773.490610836415</x:v>
      </x:c>
      <x:c r="F739" s="163" t="n">
        <x:v>0</x:v>
      </x:c>
      <x:c r="G739" s="145" t="n">
        <x:v>0.02754225678948313</x:v>
      </x:c>
      <x:c r="H739" s="145" t="n">
        <x:v>0.5</x:v>
      </x:c>
      <x:c r="I739" s="136" t="str">
        <x:v>NONPOSITIVE-MODEL-MARGIN</x:v>
      </x:c>
      <x:c r="J739" s="136" t="str">
        <x:v>V0.7-CONTROLLED-RESEARCH-SCREEN-NOT-DISTRIBUTION</x:v>
      </x:c>
    </x:row>
    <x:row r="740" ht="22" customHeight="1">
      <x:c r="A740" s="137" t="str">
        <x:v>SCR-0735</x:v>
      </x:c>
      <x:c r="B740" s="142" t="n">
        <x:v>8.794871794871795e-7</x:v>
      </x:c>
      <x:c r="C740" s="142" t="n">
        <x:v>0.014076923076923077</x:v>
      </x:c>
      <x:c r="D740" s="160" t="n">
        <x:v>1</x:v>
      </x:c>
      <x:c r="E740" s="162" t="n">
        <x:v>-2791.3660398397096</x:v>
      </x:c>
      <x:c r="F740" s="162" t="n">
        <x:v>0</x:v>
      </x:c>
      <x:c r="G740" s="144" t="n">
        <x:v>0.027841234228045544</x:v>
      </x:c>
      <x:c r="H740" s="144" t="n">
        <x:v>0.5</x:v>
      </x:c>
      <x:c r="I740" s="137" t="str">
        <x:v>NONPOSITIVE-MODEL-MARGIN</x:v>
      </x:c>
      <x:c r="J740" s="137" t="str">
        <x:v>V0.7-CONTROLLED-RESEARCH-SCREEN-NOT-DISTRIBUTION</x:v>
      </x:c>
    </x:row>
    <x:row r="741" ht="22" customHeight="1">
      <x:c r="A741" s="136" t="str">
        <x:v>SCR-0736</x:v>
      </x:c>
      <x:c r="B741" s="143" t="n">
        <x:v>8.794871794871795e-7</x:v>
      </x:c>
      <x:c r="C741" s="143" t="n">
        <x:v>0.014384615384615385</x:v>
      </x:c>
      <x:c r="D741" s="161" t="n">
        <x:v>1</x:v>
      </x:c>
      <x:c r="E741" s="163" t="n">
        <x:v>-2809.190612665054</x:v>
      </x:c>
      <x:c r="F741" s="163" t="n">
        <x:v>0</x:v>
      </x:c>
      <x:c r="G741" s="145" t="n">
        <x:v>0.02814021166660795</x:v>
      </x:c>
      <x:c r="H741" s="145" t="n">
        <x:v>0.5</x:v>
      </x:c>
      <x:c r="I741" s="136" t="str">
        <x:v>NONPOSITIVE-MODEL-MARGIN</x:v>
      </x:c>
      <x:c r="J741" s="136" t="str">
        <x:v>V0.7-CONTROLLED-RESEARCH-SCREEN-NOT-DISTRIBUTION</x:v>
      </x:c>
    </x:row>
    <x:row r="742" ht="22" customHeight="1">
      <x:c r="A742" s="137" t="str">
        <x:v>SCR-0737</x:v>
      </x:c>
      <x:c r="B742" s="142" t="n">
        <x:v>8.794871794871795e-7</x:v>
      </x:c>
      <x:c r="C742" s="142" t="n">
        <x:v>0.014692307692307692</x:v>
      </x:c>
      <x:c r="D742" s="160" t="n">
        <x:v>1</x:v>
      </x:c>
      <x:c r="E742" s="162" t="n">
        <x:v>-2826.964744735302</x:v>
      </x:c>
      <x:c r="F742" s="162" t="n">
        <x:v>0</x:v>
      </x:c>
      <x:c r="G742" s="144" t="n">
        <x:v>0.028439189105170362</x:v>
      </x:c>
      <x:c r="H742" s="144" t="n">
        <x:v>0.5</x:v>
      </x:c>
      <x:c r="I742" s="137" t="str">
        <x:v>NONPOSITIVE-MODEL-MARGIN</x:v>
      </x:c>
      <x:c r="J742" s="137" t="str">
        <x:v>V0.7-CONTROLLED-RESEARCH-SCREEN-NOT-DISTRIBUTION</x:v>
      </x:c>
    </x:row>
    <x:row r="743" ht="22" customHeight="1">
      <x:c r="A743" s="136" t="str">
        <x:v>SCR-0738</x:v>
      </x:c>
      <x:c r="B743" s="143" t="n">
        <x:v>8.794871794871795e-7</x:v>
      </x:c>
      <x:c r="C743" s="143" t="n">
        <x:v>0.015</x:v>
      </x:c>
      <x:c r="D743" s="161" t="n">
        <x:v>1</x:v>
      </x:c>
      <x:c r="E743" s="163" t="n">
        <x:v>-2844.688844889553</x:v>
      </x:c>
      <x:c r="F743" s="163" t="n">
        <x:v>0</x:v>
      </x:c>
      <x:c r="G743" s="145" t="n">
        <x:v>0.028738166543732766</x:v>
      </x:c>
      <x:c r="H743" s="145" t="n">
        <x:v>0.5</x:v>
      </x:c>
      <x:c r="I743" s="136" t="str">
        <x:v>NONPOSITIVE-MODEL-MARGIN</x:v>
      </x:c>
      <x:c r="J743" s="136" t="str">
        <x:v>V0.7-CONTROLLED-RESEARCH-SCREEN-NOT-DISTRIBUTION</x:v>
      </x:c>
    </x:row>
    <x:row r="744" ht="22" customHeight="1">
      <x:c r="A744" s="137" t="str">
        <x:v>SCR-0739</x:v>
      </x:c>
      <x:c r="B744" s="142" t="n">
        <x:v>9.282051282051281e-7</x:v>
      </x:c>
      <x:c r="C744" s="142" t="n">
        <x:v>0.003</x:v>
      </x:c>
      <x:c r="D744" s="160" t="n">
        <x:v>69</x:v>
      </x:c>
      <x:c r="E744" s="162" t="n">
        <x:v>5520.983502748579</x:v>
      </x:c>
      <x:c r="F744" s="162" t="n">
        <x:v>5520</x:v>
      </x:c>
      <x:c r="G744" s="144" t="n">
        <x:v>0.021821255880026882</x:v>
      </x:c>
      <x:c r="H744" s="144" t="n">
        <x:v>0.1337413523799254</x:v>
      </x:c>
      <x:c r="I744" s="137" t="str">
        <x:v>POSITIVE-MODEL-MARGIN</x:v>
      </x:c>
      <x:c r="J744" s="137" t="str">
        <x:v>V0.7-CONTROLLED-RESEARCH-SCREEN-NOT-DISTRIBUTION</x:v>
      </x:c>
    </x:row>
    <x:row r="745" ht="22" customHeight="1">
      <x:c r="A745" s="136" t="str">
        <x:v>SCR-0740</x:v>
      </x:c>
      <x:c r="B745" s="143" t="n">
        <x:v>9.282051282051281e-7</x:v>
      </x:c>
      <x:c r="C745" s="143" t="n">
        <x:v>0.003307692307692308</x:v>
      </x:c>
      <x:c r="D745" s="161" t="n">
        <x:v>68</x:v>
      </x:c>
      <x:c r="E745" s="163" t="n">
        <x:v>4237.341969208155</x:v>
      </x:c>
      <x:c r="F745" s="163" t="n">
        <x:v>4237</x:v>
      </x:c>
      <x:c r="G745" s="145" t="n">
        <x:v>0.022020734423900182</x:v>
      </x:c>
      <x:c r="H745" s="145" t="n">
        <x:v>0.13551091567114232</x:v>
      </x:c>
      <x:c r="I745" s="136" t="str">
        <x:v>POSITIVE-MODEL-MARGIN</x:v>
      </x:c>
      <x:c r="J745" s="136" t="str">
        <x:v>V0.7-CONTROLLED-RESEARCH-SCREEN-NOT-DISTRIBUTION</x:v>
      </x:c>
    </x:row>
    <x:row r="746" ht="22" customHeight="1">
      <x:c r="A746" s="137" t="str">
        <x:v>SCR-0741</x:v>
      </x:c>
      <x:c r="B746" s="142" t="n">
        <x:v>9.282051282051281e-7</x:v>
      </x:c>
      <x:c r="C746" s="142" t="n">
        <x:v>0.0036153846153846154</x:v>
      </x:c>
      <x:c r="D746" s="160" t="n">
        <x:v>68</x:v>
      </x:c>
      <x:c r="E746" s="162" t="n">
        <x:v>2967.4647326342565</x:v>
      </x:c>
      <x:c r="F746" s="162" t="n">
        <x:v>2967</x:v>
      </x:c>
      <x:c r="G746" s="144" t="n">
        <x:v>0.02231683518791689</x:v>
      </x:c>
      <x:c r="H746" s="144" t="n">
        <x:v>0.1370903338316672</x:v>
      </x:c>
      <x:c r="I746" s="137" t="str">
        <x:v>POSITIVE-MODEL-MARGIN</x:v>
      </x:c>
      <x:c r="J746" s="137" t="str">
        <x:v>V0.7-CONTROLLED-RESEARCH-SCREEN-NOT-DISTRIBUTION</x:v>
      </x:c>
    </x:row>
    <x:row r="747" ht="22" customHeight="1">
      <x:c r="A747" s="136" t="str">
        <x:v>SCR-0742</x:v>
      </x:c>
      <x:c r="B747" s="143" t="n">
        <x:v>9.282051282051281e-7</x:v>
      </x:c>
      <x:c r="C747" s="143" t="n">
        <x:v>0.003923076923076923</x:v>
      </x:c>
      <x:c r="D747" s="161" t="n">
        <x:v>67</x:v>
      </x:c>
      <x:c r="E747" s="163" t="n">
        <x:v>1711.175460388793</x:v>
      </x:c>
      <x:c r="F747" s="163" t="n">
        <x:v>1711</x:v>
      </x:c>
      <x:c r="G747" s="145" t="n">
        <x:v>0.022517001518571764</x:v>
      </x:c>
      <x:c r="H747" s="145" t="n">
        <x:v>0.13890916544282408</x:v>
      </x:c>
      <x:c r="I747" s="136" t="str">
        <x:v>POSITIVE-MODEL-MARGIN</x:v>
      </x:c>
      <x:c r="J747" s="136" t="str">
        <x:v>V0.7-CONTROLLED-RESEARCH-SCREEN-NOT-DISTRIBUTION</x:v>
      </x:c>
    </x:row>
    <x:row r="748" ht="22" customHeight="1">
      <x:c r="A748" s="137" t="str">
        <x:v>SCR-0743</x:v>
      </x:c>
      <x:c r="B748" s="142" t="n">
        <x:v>9.282051282051281e-7</x:v>
      </x:c>
      <x:c r="C748" s="142" t="n">
        <x:v>0.004230769230769231</x:v>
      </x:c>
      <x:c r="D748" s="160" t="n">
        <x:v>67</x:v>
      </x:c>
      <x:c r="E748" s="162" t="n">
        <x:v>464.27194600692394</x:v>
      </x:c>
      <x:c r="F748" s="162" t="n">
        <x:v>464</x:v>
      </x:c>
      <x:c r="G748" s="144" t="n">
        <x:v>0.022813161786147396</x:v>
      </x:c>
      <x:c r="H748" s="144" t="n">
        <x:v>0.14049364588934637</x:v>
      </x:c>
      <x:c r="I748" s="137" t="str">
        <x:v>POSITIVE-MODEL-MARGIN</x:v>
      </x:c>
      <x:c r="J748" s="137" t="str">
        <x:v>V0.7-CONTROLLED-RESEARCH-SCREEN-NOT-DISTRIBUTION</x:v>
      </x:c>
    </x:row>
    <x:row r="749" ht="22" customHeight="1">
      <x:c r="A749" s="136" t="str">
        <x:v>SCR-0744</x:v>
      </x:c>
      <x:c r="B749" s="143" t="n">
        <x:v>9.282051282051281e-7</x:v>
      </x:c>
      <x:c r="C749" s="143" t="n">
        <x:v>0.004538461538461538</x:v>
      </x:c>
      <x:c r="D749" s="161" t="n">
        <x:v>66</x:v>
      </x:c>
      <x:c r="E749" s="163" t="n">
        <x:v>-770.8528376230714</x:v>
      </x:c>
      <x:c r="F749" s="163" t="n">
        <x:v>0</x:v>
      </x:c>
      <x:c r="G749" s="145" t="n">
        <x:v>0.02301415730591982</x:v>
      </x:c>
      <x:c r="H749" s="145" t="n">
        <x:v>0.14236644946563828</x:v>
      </x:c>
      <x:c r="I749" s="136" t="str">
        <x:v>NONPOSITIVE-MODEL-MARGIN</x:v>
      </x:c>
      <x:c r="J749" s="136" t="str">
        <x:v>V0.7-CONTROLLED-RESEARCH-SCREEN-NOT-DISTRIBUTION</x:v>
      </x:c>
    </x:row>
    <x:row r="750" ht="22" customHeight="1">
      <x:c r="A750" s="137" t="str">
        <x:v>SCR-0745</x:v>
      </x:c>
      <x:c r="B750" s="142" t="n">
        <x:v>9.282051282051281e-7</x:v>
      </x:c>
      <x:c r="C750" s="142" t="n">
        <x:v>0.004846153846153846</x:v>
      </x:c>
      <x:c r="D750" s="160" t="n">
        <x:v>66</x:v>
      </x:c>
      <x:c r="E750" s="162" t="n">
        <x:v>-1991.3059612410543</x:v>
      </x:c>
      <x:c r="F750" s="162" t="n">
        <x:v>0</x:v>
      </x:c>
      <x:c r="G750" s="144" t="n">
        <x:v>0.02331037667296826</x:v>
      </x:c>
      <x:c r="H750" s="144" t="n">
        <x:v>0.14395635129280476</x:v>
      </x:c>
      <x:c r="I750" s="137" t="str">
        <x:v>NONPOSITIVE-MODEL-MARGIN</x:v>
      </x:c>
      <x:c r="J750" s="137" t="str">
        <x:v>V0.7-CONTROLLED-RESEARCH-SCREEN-NOT-DISTRIBUTION</x:v>
      </x:c>
    </x:row>
    <x:row r="751" ht="22" customHeight="1">
      <x:c r="A751" s="136" t="str">
        <x:v>SCR-0746</x:v>
      </x:c>
      <x:c r="B751" s="143" t="n">
        <x:v>9.282051282051281e-7</x:v>
      </x:c>
      <x:c r="C751" s="143" t="n">
        <x:v>0.005</x:v>
      </x:c>
      <x:c r="D751" s="161" t="n">
        <x:v>1</x:v>
      </x:c>
      <x:c r="E751" s="163" t="n">
        <x:v>-2278.239918336401</x:v>
      </x:c>
      <x:c r="F751" s="163" t="n">
        <x:v>0</x:v>
      </x:c>
      <x:c r="G751" s="145" t="n">
        <x:v>0.019749078872958892</x:v>
      </x:c>
      <x:c r="H751" s="145" t="n">
        <x:v>0.5</x:v>
      </x:c>
      <x:c r="I751" s="136" t="str">
        <x:v>NONPOSITIVE-MODEL-MARGIN</x:v>
      </x:c>
      <x:c r="J751" s="136" t="str">
        <x:v>V0.7-CONTROLLED-RESEARCH-SCREEN-NOT-DISTRIBUTION</x:v>
      </x:c>
    </x:row>
    <x:row r="752" ht="22" customHeight="1">
      <x:c r="A752" s="137" t="str">
        <x:v>SCR-0747</x:v>
      </x:c>
      <x:c r="B752" s="142" t="n">
        <x:v>9.282051282051281e-7</x:v>
      </x:c>
      <x:c r="C752" s="142" t="n">
        <x:v>0.005153846153846154</x:v>
      </x:c>
      <x:c r="D752" s="160" t="n">
        <x:v>1</x:v>
      </x:c>
      <x:c r="E752" s="162" t="n">
        <x:v>-2287.960037819317</x:v>
      </x:c>
      <x:c r="F752" s="162" t="n">
        <x:v>0</x:v>
      </x:c>
      <x:c r="G752" s="144" t="n">
        <x:v>0.019898341443643695</x:v>
      </x:c>
      <x:c r="H752" s="144" t="n">
        <x:v>0.5</x:v>
      </x:c>
      <x:c r="I752" s="137" t="str">
        <x:v>NONPOSITIVE-MODEL-MARGIN</x:v>
      </x:c>
      <x:c r="J752" s="137" t="str">
        <x:v>V0.7-CONTROLLED-RESEARCH-SCREEN-NOT-DISTRIBUTION</x:v>
      </x:c>
    </x:row>
    <x:row r="753" ht="22" customHeight="1">
      <x:c r="A753" s="136" t="str">
        <x:v>SCR-0748</x:v>
      </x:c>
      <x:c r="B753" s="143" t="n">
        <x:v>9.282051282051281e-7</x:v>
      </x:c>
      <x:c r="C753" s="143" t="n">
        <x:v>0.005461538461538462</x:v>
      </x:c>
      <x:c r="D753" s="161" t="n">
        <x:v>1</x:v>
      </x:c>
      <x:c r="E753" s="163" t="n">
        <x:v>-2307.351236165735</x:v>
      </x:c>
      <x:c r="F753" s="163" t="n">
        <x:v>0</x:v>
      </x:c>
      <x:c r="G753" s="145" t="n">
        <x:v>0.0201968665850133</x:v>
      </x:c>
      <x:c r="H753" s="145" t="n">
        <x:v>0.5</x:v>
      </x:c>
      <x:c r="I753" s="136" t="str">
        <x:v>NONPOSITIVE-MODEL-MARGIN</x:v>
      </x:c>
      <x:c r="J753" s="136" t="str">
        <x:v>V0.7-CONTROLLED-RESEARCH-SCREEN-NOT-DISTRIBUTION</x:v>
      </x:c>
    </x:row>
    <x:row r="754" ht="22" customHeight="1">
      <x:c r="A754" s="137" t="str">
        <x:v>SCR-0749</x:v>
      </x:c>
      <x:c r="B754" s="142" t="n">
        <x:v>9.282051282051281e-7</x:v>
      </x:c>
      <x:c r="C754" s="142" t="n">
        <x:v>0.0057692307692307696</x:v>
      </x:c>
      <x:c r="D754" s="160" t="n">
        <x:v>1</x:v>
      </x:c>
      <x:c r="E754" s="162" t="n">
        <x:v>-2326.677603111895</x:v>
      </x:c>
      <x:c r="F754" s="162" t="n">
        <x:v>0</x:v>
      </x:c>
      <x:c r="G754" s="144" t="n">
        <x:v>0.020495391726382907</x:v>
      </x:c>
      <x:c r="H754" s="144" t="n">
        <x:v>0.5</x:v>
      </x:c>
      <x:c r="I754" s="137" t="str">
        <x:v>NONPOSITIVE-MODEL-MARGIN</x:v>
      </x:c>
      <x:c r="J754" s="137" t="str">
        <x:v>V0.7-CONTROLLED-RESEARCH-SCREEN-NOT-DISTRIBUTION</x:v>
      </x:c>
    </x:row>
    <x:row r="755" ht="22" customHeight="1">
      <x:c r="A755" s="136" t="str">
        <x:v>SCR-0750</x:v>
      </x:c>
      <x:c r="B755" s="143" t="n">
        <x:v>9.282051282051281e-7</x:v>
      </x:c>
      <x:c r="C755" s="143" t="n">
        <x:v>0.006076923076923077</x:v>
      </x:c>
      <x:c r="D755" s="161" t="n">
        <x:v>1</x:v>
      </x:c>
      <x:c r="E755" s="163" t="n">
        <x:v>-2345.9397957254437</x:v>
      </x:c>
      <x:c r="F755" s="163" t="n">
        <x:v>0</x:v>
      </x:c>
      <x:c r="G755" s="145" t="n">
        <x:v>0.020793916867752515</x:v>
      </x:c>
      <x:c r="H755" s="145" t="n">
        <x:v>0.5</x:v>
      </x:c>
      <x:c r="I755" s="136" t="str">
        <x:v>NONPOSITIVE-MODEL-MARGIN</x:v>
      </x:c>
      <x:c r="J755" s="136" t="str">
        <x:v>V0.7-CONTROLLED-RESEARCH-SCREEN-NOT-DISTRIBUTION</x:v>
      </x:c>
    </x:row>
    <x:row r="756" ht="22" customHeight="1">
      <x:c r="A756" s="137" t="str">
        <x:v>SCR-0751</x:v>
      </x:c>
      <x:c r="B756" s="142" t="n">
        <x:v>9.282051282051281e-7</x:v>
      </x:c>
      <x:c r="C756" s="142" t="n">
        <x:v>0.006384615384615384</x:v>
      </x:c>
      <x:c r="D756" s="160" t="n">
        <x:v>1</x:v>
      </x:c>
      <x:c r="E756" s="162" t="n">
        <x:v>-2368.9759819609103</x:v>
      </x:c>
      <x:c r="F756" s="162" t="n">
        <x:v>0</x:v>
      </x:c>
      <x:c r="G756" s="144" t="n">
        <x:v>0.021092442009122126</x:v>
      </x:c>
      <x:c r="H756" s="144" t="n">
        <x:v>0.5</x:v>
      </x:c>
      <x:c r="I756" s="137" t="str">
        <x:v>NONPOSITIVE-MODEL-MARGIN</x:v>
      </x:c>
      <x:c r="J756" s="137" t="str">
        <x:v>V0.7-CONTROLLED-RESEARCH-SCREEN-NOT-DISTRIBUTION</x:v>
      </x:c>
    </x:row>
    <x:row r="757" ht="22" customHeight="1">
      <x:c r="A757" s="136" t="str">
        <x:v>SCR-0752</x:v>
      </x:c>
      <x:c r="B757" s="143" t="n">
        <x:v>9.282051282051281e-7</x:v>
      </x:c>
      <x:c r="C757" s="143" t="n">
        <x:v>0.006692307692307693</x:v>
      </x:c>
      <x:c r="D757" s="161" t="n">
        <x:v>1</x:v>
      </x:c>
      <x:c r="E757" s="163" t="n">
        <x:v>-2388.0973921377063</x:v>
      </x:c>
      <x:c r="F757" s="163" t="n">
        <x:v>0</x:v>
      </x:c>
      <x:c r="G757" s="145" t="n">
        <x:v>0.021390967150491727</x:v>
      </x:c>
      <x:c r="H757" s="145" t="n">
        <x:v>0.5</x:v>
      </x:c>
      <x:c r="I757" s="136" t="str">
        <x:v>NONPOSITIVE-MODEL-MARGIN</x:v>
      </x:c>
      <x:c r="J757" s="136" t="str">
        <x:v>V0.7-CONTROLLED-RESEARCH-SCREEN-NOT-DISTRIBUTION</x:v>
      </x:c>
    </x:row>
    <x:row r="758" ht="22" customHeight="1">
      <x:c r="A758" s="137" t="str">
        <x:v>SCR-0753</x:v>
      </x:c>
      <x:c r="B758" s="142" t="n">
        <x:v>9.282051282051281e-7</x:v>
      </x:c>
      <x:c r="C758" s="142" t="n">
        <x:v>0.007</x:v>
      </x:c>
      <x:c r="D758" s="160" t="n">
        <x:v>1</x:v>
      </x:c>
      <x:c r="E758" s="162" t="n">
        <x:v>-2407.156725319319</x:v>
      </x:c>
      <x:c r="F758" s="162" t="n">
        <x:v>0</x:v>
      </x:c>
      <x:c r="G758" s="144" t="n">
        <x:v>0.02168949229186133</x:v>
      </x:c>
      <x:c r="H758" s="144" t="n">
        <x:v>0.5</x:v>
      </x:c>
      <x:c r="I758" s="137" t="str">
        <x:v>NONPOSITIVE-MODEL-MARGIN</x:v>
      </x:c>
      <x:c r="J758" s="137" t="str">
        <x:v>V0.7-CONTROLLED-RESEARCH-SCREEN-NOT-DISTRIBUTION</x:v>
      </x:c>
    </x:row>
    <x:row r="759" ht="22" customHeight="1">
      <x:c r="A759" s="136" t="str">
        <x:v>SCR-0754</x:v>
      </x:c>
      <x:c r="B759" s="143" t="n">
        <x:v>9.282051282051281e-7</x:v>
      </x:c>
      <x:c r="C759" s="143" t="n">
        <x:v>0.007307692307692308</x:v>
      </x:c>
      <x:c r="D759" s="161" t="n">
        <x:v>1</x:v>
      </x:c>
      <x:c r="E759" s="163" t="n">
        <x:v>-2426.1545881779293</x:v>
      </x:c>
      <x:c r="F759" s="163" t="n">
        <x:v>0</x:v>
      </x:c>
      <x:c r="G759" s="145" t="n">
        <x:v>0.02198801743323094</x:v>
      </x:c>
      <x:c r="H759" s="145" t="n">
        <x:v>0.5</x:v>
      </x:c>
      <x:c r="I759" s="136" t="str">
        <x:v>NONPOSITIVE-MODEL-MARGIN</x:v>
      </x:c>
      <x:c r="J759" s="136" t="str">
        <x:v>V0.7-CONTROLLED-RESEARCH-SCREEN-NOT-DISTRIBUTION</x:v>
      </x:c>
    </x:row>
    <x:row r="760" ht="22" customHeight="1">
      <x:c r="A760" s="137" t="str">
        <x:v>SCR-0755</x:v>
      </x:c>
      <x:c r="B760" s="142" t="n">
        <x:v>9.282051282051281e-7</x:v>
      </x:c>
      <x:c r="C760" s="142" t="n">
        <x:v>0.007615384615384616</x:v>
      </x:c>
      <x:c r="D760" s="160" t="n">
        <x:v>1</x:v>
      </x:c>
      <x:c r="E760" s="162" t="n">
        <x:v>-2445.091576819168</x:v>
      </x:c>
      <x:c r="F760" s="162" t="n">
        <x:v>0</x:v>
      </x:c>
      <x:c r="G760" s="144" t="n">
        <x:v>0.022286542574600547</x:v>
      </x:c>
      <x:c r="H760" s="144" t="n">
        <x:v>0.5</x:v>
      </x:c>
      <x:c r="I760" s="137" t="str">
        <x:v>NONPOSITIVE-MODEL-MARGIN</x:v>
      </x:c>
      <x:c r="J760" s="137" t="str">
        <x:v>V0.7-CONTROLLED-RESEARCH-SCREEN-NOT-DISTRIBUTION</x:v>
      </x:c>
    </x:row>
    <x:row r="761" ht="22" customHeight="1">
      <x:c r="A761" s="136" t="str">
        <x:v>SCR-0756</x:v>
      </x:c>
      <x:c r="B761" s="143" t="n">
        <x:v>9.282051282051281e-7</x:v>
      </x:c>
      <x:c r="C761" s="143" t="n">
        <x:v>0.007923076923076923</x:v>
      </x:c>
      <x:c r="D761" s="161" t="n">
        <x:v>1</x:v>
      </x:c>
      <x:c r="E761" s="163" t="n">
        <x:v>-2463.9682769717947</x:v>
      </x:c>
      <x:c r="F761" s="163" t="n">
        <x:v>0</x:v>
      </x:c>
      <x:c r="G761" s="145" t="n">
        <x:v>0.022585067715970148</x:v>
      </x:c>
      <x:c r="H761" s="145" t="n">
        <x:v>0.5</x:v>
      </x:c>
      <x:c r="I761" s="136" t="str">
        <x:v>NONPOSITIVE-MODEL-MARGIN</x:v>
      </x:c>
      <x:c r="J761" s="136" t="str">
        <x:v>V0.7-CONTROLLED-RESEARCH-SCREEN-NOT-DISTRIBUTION</x:v>
      </x:c>
    </x:row>
    <x:row r="762" ht="22" customHeight="1">
      <x:c r="A762" s="137" t="str">
        <x:v>SCR-0757</x:v>
      </x:c>
      <x:c r="B762" s="142" t="n">
        <x:v>9.282051282051281e-7</x:v>
      </x:c>
      <x:c r="C762" s="142" t="n">
        <x:v>0.00823076923076923</x:v>
      </x:c>
      <x:c r="D762" s="160" t="n">
        <x:v>1</x:v>
      </x:c>
      <x:c r="E762" s="162" t="n">
        <x:v>-2482.7852641796003</x:v>
      </x:c>
      <x:c r="F762" s="162" t="n">
        <x:v>0</x:v>
      </x:c>
      <x:c r="G762" s="144" t="n">
        <x:v>0.022883592857339763</x:v>
      </x:c>
      <x:c r="H762" s="144" t="n">
        <x:v>0.5</x:v>
      </x:c>
      <x:c r="I762" s="137" t="str">
        <x:v>NONPOSITIVE-MODEL-MARGIN</x:v>
      </x:c>
      <x:c r="J762" s="137" t="str">
        <x:v>V0.7-CONTROLLED-RESEARCH-SCREEN-NOT-DISTRIBUTION</x:v>
      </x:c>
    </x:row>
    <x:row r="763" ht="22" customHeight="1">
      <x:c r="A763" s="136" t="str">
        <x:v>SCR-0758</x:v>
      </x:c>
      <x:c r="B763" s="143" t="n">
        <x:v>9.282051282051281e-7</x:v>
      </x:c>
      <x:c r="C763" s="143" t="n">
        <x:v>0.00853846153846154</x:v>
      </x:c>
      <x:c r="D763" s="161" t="n">
        <x:v>1</x:v>
      </x:c>
      <x:c r="E763" s="163" t="n">
        <x:v>-2505.284023018344</x:v>
      </x:c>
      <x:c r="F763" s="163" t="n">
        <x:v>0</x:v>
      </x:c>
      <x:c r="G763" s="145" t="n">
        <x:v>0.02318211799870937</x:v>
      </x:c>
      <x:c r="H763" s="145" t="n">
        <x:v>0.5</x:v>
      </x:c>
      <x:c r="I763" s="136" t="str">
        <x:v>NONPOSITIVE-MODEL-MARGIN</x:v>
      </x:c>
      <x:c r="J763" s="136" t="str">
        <x:v>V0.7-CONTROLLED-RESEARCH-SCREEN-NOT-DISTRIBUTION</x:v>
      </x:c>
    </x:row>
    <x:row r="764" ht="22" customHeight="1">
      <x:c r="A764" s="137" t="str">
        <x:v>SCR-0759</x:v>
      </x:c>
      <x:c r="B764" s="142" t="n">
        <x:v>9.282051282051281e-7</x:v>
      </x:c>
      <x:c r="C764" s="142" t="n">
        <x:v>0.008846153846153847</x:v>
      </x:c>
      <x:c r="D764" s="160" t="n">
        <x:v>1</x:v>
      </x:c>
      <x:c r="E764" s="162" t="n">
        <x:v>-2523.970170357789</x:v>
      </x:c>
      <x:c r="F764" s="162" t="n">
        <x:v>0</x:v>
      </x:c>
      <x:c r="G764" s="144" t="n">
        <x:v>0.02348064314007897</x:v>
      </x:c>
      <x:c r="H764" s="144" t="n">
        <x:v>0.5</x:v>
      </x:c>
      <x:c r="I764" s="137" t="str">
        <x:v>NONPOSITIVE-MODEL-MARGIN</x:v>
      </x:c>
      <x:c r="J764" s="137" t="str">
        <x:v>V0.7-CONTROLLED-RESEARCH-SCREEN-NOT-DISTRIBUTION</x:v>
      </x:c>
    </x:row>
    <x:row r="765" ht="22" customHeight="1">
      <x:c r="A765" s="136" t="str">
        <x:v>SCR-0760</x:v>
      </x:c>
      <x:c r="B765" s="143" t="n">
        <x:v>9.282051282051281e-7</x:v>
      </x:c>
      <x:c r="C765" s="143" t="n">
        <x:v>0.009153846153846155</x:v>
      </x:c>
      <x:c r="D765" s="161" t="n">
        <x:v>1</x:v>
      </x:c>
      <x:c r="E765" s="163" t="n">
        <x:v>-2542.5984337645205</x:v>
      </x:c>
      <x:c r="F765" s="163" t="n">
        <x:v>0</x:v>
      </x:c>
      <x:c r="G765" s="145" t="n">
        <x:v>0.02377916828144858</x:v>
      </x:c>
      <x:c r="H765" s="145" t="n">
        <x:v>0.5</x:v>
      </x:c>
      <x:c r="I765" s="136" t="str">
        <x:v>NONPOSITIVE-MODEL-MARGIN</x:v>
      </x:c>
      <x:c r="J765" s="136" t="str">
        <x:v>V0.7-CONTROLLED-RESEARCH-SCREEN-NOT-DISTRIBUTION</x:v>
      </x:c>
    </x:row>
    <x:row r="766" ht="22" customHeight="1">
      <x:c r="A766" s="137" t="str">
        <x:v>SCR-0761</x:v>
      </x:c>
      <x:c r="B766" s="142" t="n">
        <x:v>9.282051282051281e-7</x:v>
      </x:c>
      <x:c r="C766" s="142" t="n">
        <x:v>0.009461538461538462</x:v>
      </x:c>
      <x:c r="D766" s="160" t="n">
        <x:v>1</x:v>
      </x:c>
      <x:c r="E766" s="162" t="n">
        <x:v>-2561.169345942242</x:v>
      </x:c>
      <x:c r="F766" s="162" t="n">
        <x:v>0</x:v>
      </x:c>
      <x:c r="G766" s="144" t="n">
        <x:v>0.024077693422818187</x:v>
      </x:c>
      <x:c r="H766" s="144" t="n">
        <x:v>0.5</x:v>
      </x:c>
      <x:c r="I766" s="137" t="str">
        <x:v>NONPOSITIVE-MODEL-MARGIN</x:v>
      </x:c>
      <x:c r="J766" s="137" t="str">
        <x:v>V0.7-CONTROLLED-RESEARCH-SCREEN-NOT-DISTRIBUTION</x:v>
      </x:c>
    </x:row>
    <x:row r="767" ht="22" customHeight="1">
      <x:c r="A767" s="136" t="str">
        <x:v>SCR-0762</x:v>
      </x:c>
      <x:c r="B767" s="143" t="n">
        <x:v>9.282051282051281e-7</x:v>
      </x:c>
      <x:c r="C767" s="143" t="n">
        <x:v>0.00976923076923077</x:v>
      </x:c>
      <x:c r="D767" s="161" t="n">
        <x:v>1</x:v>
      </x:c>
      <x:c r="E767" s="163" t="n">
        <x:v>-2579.6834305233165</x:v>
      </x:c>
      <x:c r="F767" s="163" t="n">
        <x:v>0</x:v>
      </x:c>
      <x:c r="G767" s="145" t="n">
        <x:v>0.024376218564187792</x:v>
      </x:c>
      <x:c r="H767" s="145" t="n">
        <x:v>0.5</x:v>
      </x:c>
      <x:c r="I767" s="136" t="str">
        <x:v>NONPOSITIVE-MODEL-MARGIN</x:v>
      </x:c>
      <x:c r="J767" s="136" t="str">
        <x:v>V0.7-CONTROLLED-RESEARCH-SCREEN-NOT-DISTRIBUTION</x:v>
      </x:c>
    </x:row>
    <x:row r="768" ht="22" customHeight="1">
      <x:c r="A768" s="137" t="str">
        <x:v>SCR-0763</x:v>
      </x:c>
      <x:c r="B768" s="142" t="n">
        <x:v>9.282051282051281e-7</x:v>
      </x:c>
      <x:c r="C768" s="142" t="n">
        <x:v>0.010076923076923077</x:v>
      </x:c>
      <x:c r="D768" s="160" t="n">
        <x:v>1</x:v>
      </x:c>
      <x:c r="E768" s="162" t="n">
        <x:v>-2598.141202251226</x:v>
      </x:c>
      <x:c r="F768" s="162" t="n">
        <x:v>0</x:v>
      </x:c>
      <x:c r="G768" s="144" t="n">
        <x:v>0.024674743705557396</x:v>
      </x:c>
      <x:c r="H768" s="144" t="n">
        <x:v>0.5</x:v>
      </x:c>
      <x:c r="I768" s="137" t="str">
        <x:v>NONPOSITIVE-MODEL-MARGIN</x:v>
      </x:c>
      <x:c r="J768" s="137" t="str">
        <x:v>V0.7-CONTROLLED-RESEARCH-SCREEN-NOT-DISTRIBUTION</x:v>
      </x:c>
    </x:row>
    <x:row r="769" ht="22" customHeight="1">
      <x:c r="A769" s="136" t="str">
        <x:v>SCR-0764</x:v>
      </x:c>
      <x:c r="B769" s="143" t="n">
        <x:v>9.282051282051281e-7</x:v>
      </x:c>
      <x:c r="C769" s="143" t="n">
        <x:v>0.010384615384615384</x:v>
      </x:c>
      <x:c r="D769" s="161" t="n">
        <x:v>1</x:v>
      </x:c>
      <x:c r="E769" s="163" t="n">
        <x:v>-2616.5431671614156</x:v>
      </x:c>
      <x:c r="F769" s="163" t="n">
        <x:v>0</x:v>
      </x:c>
      <x:c r="G769" s="145" t="n">
        <x:v>0.02497326884692701</x:v>
      </x:c>
      <x:c r="H769" s="145" t="n">
        <x:v>0.5</x:v>
      </x:c>
      <x:c r="I769" s="136" t="str">
        <x:v>NONPOSITIVE-MODEL-MARGIN</x:v>
      </x:c>
      <x:c r="J769" s="136" t="str">
        <x:v>V0.7-CONTROLLED-RESEARCH-SCREEN-NOT-DISTRIBUTION</x:v>
      </x:c>
    </x:row>
    <x:row r="770" ht="22" customHeight="1">
      <x:c r="A770" s="137" t="str">
        <x:v>SCR-0765</x:v>
      </x:c>
      <x:c r="B770" s="142" t="n">
        <x:v>9.282051282051281e-7</x:v>
      </x:c>
      <x:c r="C770" s="142" t="n">
        <x:v>0.010692307692307692</x:v>
      </x:c>
      <x:c r="D770" s="160" t="n">
        <x:v>1</x:v>
      </x:c>
      <x:c r="E770" s="162" t="n">
        <x:v>-2634.8898227602153</x:v>
      </x:c>
      <x:c r="F770" s="162" t="n">
        <x:v>0</x:v>
      </x:c>
      <x:c r="G770" s="144" t="n">
        <x:v>0.02527179398829661</x:v>
      </x:c>
      <x:c r="H770" s="144" t="n">
        <x:v>0.5</x:v>
      </x:c>
      <x:c r="I770" s="137" t="str">
        <x:v>NONPOSITIVE-MODEL-MARGIN</x:v>
      </x:c>
      <x:c r="J770" s="137" t="str">
        <x:v>V0.7-CONTROLLED-RESEARCH-SCREEN-NOT-DISTRIBUTION</x:v>
      </x:c>
    </x:row>
    <x:row r="771" ht="22" customHeight="1">
      <x:c r="A771" s="136" t="str">
        <x:v>SCR-0766</x:v>
      </x:c>
      <x:c r="B771" s="143" t="n">
        <x:v>9.282051282051281e-7</x:v>
      </x:c>
      <x:c r="C771" s="143" t="n">
        <x:v>0.011</x:v>
      </x:c>
      <x:c r="D771" s="161" t="n">
        <x:v>1</x:v>
      </x:c>
      <x:c r="E771" s="163" t="n">
        <x:v>-2656.8220782888347</x:v>
      </x:c>
      <x:c r="F771" s="163" t="n">
        <x:v>0</x:v>
      </x:c>
      <x:c r="G771" s="145" t="n">
        <x:v>0.025570319129666213</x:v>
      </x:c>
      <x:c r="H771" s="145" t="n">
        <x:v>0.5</x:v>
      </x:c>
      <x:c r="I771" s="136" t="str">
        <x:v>NONPOSITIVE-MODEL-MARGIN</x:v>
      </x:c>
      <x:c r="J771" s="136" t="str">
        <x:v>V0.7-CONTROLLED-RESEARCH-SCREEN-NOT-DISTRIBUTION</x:v>
      </x:c>
    </x:row>
    <x:row r="772" ht="22" customHeight="1">
      <x:c r="A772" s="137" t="str">
        <x:v>SCR-0767</x:v>
      </x:c>
      <x:c r="B772" s="142" t="n">
        <x:v>9.282051282051281e-7</x:v>
      </x:c>
      <x:c r="C772" s="142" t="n">
        <x:v>0.011307692307692307</x:v>
      </x:c>
      <x:c r="D772" s="160" t="n">
        <x:v>1</x:v>
      </x:c>
      <x:c r="E772" s="162" t="n">
        <x:v>-2675.04766109171</x:v>
      </x:c>
      <x:c r="F772" s="162" t="n">
        <x:v>0</x:v>
      </x:c>
      <x:c r="G772" s="144" t="n">
        <x:v>0.025868844271035824</x:v>
      </x:c>
      <x:c r="H772" s="144" t="n">
        <x:v>0.5</x:v>
      </x:c>
      <x:c r="I772" s="137" t="str">
        <x:v>NONPOSITIVE-MODEL-MARGIN</x:v>
      </x:c>
      <x:c r="J772" s="137" t="str">
        <x:v>V0.7-CONTROLLED-RESEARCH-SCREEN-NOT-DISTRIBUTION</x:v>
      </x:c>
    </x:row>
    <x:row r="773" ht="22" customHeight="1">
      <x:c r="A773" s="136" t="str">
        <x:v>SCR-0768</x:v>
      </x:c>
      <x:c r="B773" s="143" t="n">
        <x:v>9.282051282051281e-7</x:v>
      </x:c>
      <x:c r="C773" s="143" t="n">
        <x:v>0.011615384615384614</x:v>
      </x:c>
      <x:c r="D773" s="161" t="n">
        <x:v>1</x:v>
      </x:c>
      <x:c r="E773" s="163" t="n">
        <x:v>-2693.2195107672183</x:v>
      </x:c>
      <x:c r="F773" s="163" t="n">
        <x:v>0</x:v>
      </x:c>
      <x:c r="G773" s="145" t="n">
        <x:v>0.02616736941240543</x:v>
      </x:c>
      <x:c r="H773" s="145" t="n">
        <x:v>0.5</x:v>
      </x:c>
      <x:c r="I773" s="136" t="str">
        <x:v>NONPOSITIVE-MODEL-MARGIN</x:v>
      </x:c>
      <x:c r="J773" s="136" t="str">
        <x:v>V0.7-CONTROLLED-RESEARCH-SCREEN-NOT-DISTRIBUTION</x:v>
      </x:c>
    </x:row>
    <x:row r="774" ht="22" customHeight="1">
      <x:c r="A774" s="137" t="str">
        <x:v>SCR-0769</x:v>
      </x:c>
      <x:c r="B774" s="142" t="n">
        <x:v>9.282051282051281e-7</x:v>
      </x:c>
      <x:c r="C774" s="142" t="n">
        <x:v>0.011923076923076925</x:v>
      </x:c>
      <x:c r="D774" s="160" t="n">
        <x:v>1</x:v>
      </x:c>
      <x:c r="E774" s="162" t="n">
        <x:v>-2711.3380894249426</x:v>
      </x:c>
      <x:c r="F774" s="162" t="n">
        <x:v>0</x:v>
      </x:c>
      <x:c r="G774" s="144" t="n">
        <x:v>0.02646589455377504</x:v>
      </x:c>
      <x:c r="H774" s="144" t="n">
        <x:v>0.5</x:v>
      </x:c>
      <x:c r="I774" s="137" t="str">
        <x:v>NONPOSITIVE-MODEL-MARGIN</x:v>
      </x:c>
      <x:c r="J774" s="137" t="str">
        <x:v>V0.7-CONTROLLED-RESEARCH-SCREEN-NOT-DISTRIBUTION</x:v>
      </x:c>
    </x:row>
    <x:row r="775" ht="22" customHeight="1">
      <x:c r="A775" s="136" t="str">
        <x:v>SCR-0770</x:v>
      </x:c>
      <x:c r="B775" s="143" t="n">
        <x:v>9.282051282051281e-7</x:v>
      </x:c>
      <x:c r="C775" s="143" t="n">
        <x:v>0.012230769230769233</x:v>
      </x:c>
      <x:c r="D775" s="161" t="n">
        <x:v>1</x:v>
      </x:c>
      <x:c r="E775" s="163" t="n">
        <x:v>-2729.403851604188</x:v>
      </x:c>
      <x:c r="F775" s="163" t="n">
        <x:v>0</x:v>
      </x:c>
      <x:c r="G775" s="145" t="n">
        <x:v>0.026764419695144648</x:v>
      </x:c>
      <x:c r="H775" s="145" t="n">
        <x:v>0.5</x:v>
      </x:c>
      <x:c r="I775" s="136" t="str">
        <x:v>NONPOSITIVE-MODEL-MARGIN</x:v>
      </x:c>
      <x:c r="J775" s="136" t="str">
        <x:v>V0.7-CONTROLLED-RESEARCH-SCREEN-NOT-DISTRIBUTION</x:v>
      </x:c>
    </x:row>
    <x:row r="776" ht="22" customHeight="1">
      <x:c r="A776" s="137" t="str">
        <x:v>SCR-0771</x:v>
      </x:c>
      <x:c r="B776" s="142" t="n">
        <x:v>9.282051282051281e-7</x:v>
      </x:c>
      <x:c r="C776" s="142" t="n">
        <x:v>0.01253846153846154</x:v>
      </x:c>
      <x:c r="D776" s="160" t="n">
        <x:v>1</x:v>
      </x:c>
      <x:c r="E776" s="162" t="n">
        <x:v>-2747.417244432266</x:v>
      </x:c>
      <x:c r="F776" s="162" t="n">
        <x:v>0</x:v>
      </x:c>
      <x:c r="G776" s="144" t="n">
        <x:v>0.027062944836514245</x:v>
      </x:c>
      <x:c r="H776" s="144" t="n">
        <x:v>0.5</x:v>
      </x:c>
      <x:c r="I776" s="137" t="str">
        <x:v>NONPOSITIVE-MODEL-MARGIN</x:v>
      </x:c>
      <x:c r="J776" s="137" t="str">
        <x:v>V0.7-CONTROLLED-RESEARCH-SCREEN-NOT-DISTRIBUTION</x:v>
      </x:c>
    </x:row>
    <x:row r="777" ht="22" customHeight="1">
      <x:c r="A777" s="136" t="str">
        <x:v>SCR-0772</x:v>
      </x:c>
      <x:c r="B777" s="143" t="n">
        <x:v>9.282051282051281e-7</x:v>
      </x:c>
      <x:c r="C777" s="143" t="n">
        <x:v>0.012846153846153847</x:v>
      </x:c>
      <x:c r="D777" s="161" t="n">
        <x:v>1</x:v>
      </x:c>
      <x:c r="E777" s="163" t="n">
        <x:v>-2765.378707780049</x:v>
      </x:c>
      <x:c r="F777" s="163" t="n">
        <x:v>0</x:v>
      </x:c>
      <x:c r="G777" s="145" t="n">
        <x:v>0.02736146997788386</x:v>
      </x:c>
      <x:c r="H777" s="145" t="n">
        <x:v>0.5</x:v>
      </x:c>
      <x:c r="I777" s="136" t="str">
        <x:v>NONPOSITIVE-MODEL-MARGIN</x:v>
      </x:c>
      <x:c r="J777" s="136" t="str">
        <x:v>V0.7-CONTROLLED-RESEARCH-SCREEN-NOT-DISTRIBUTION</x:v>
      </x:c>
    </x:row>
    <x:row r="778" ht="22" customHeight="1">
      <x:c r="A778" s="137" t="str">
        <x:v>SCR-0773</x:v>
      </x:c>
      <x:c r="B778" s="142" t="n">
        <x:v>9.282051282051281e-7</x:v>
      </x:c>
      <x:c r="C778" s="142" t="n">
        <x:v>0.013153846153846155</x:v>
      </x:c>
      <x:c r="D778" s="160" t="n">
        <x:v>1</x:v>
      </x:c>
      <x:c r="E778" s="162" t="n">
        <x:v>-2783.288674414499</x:v>
      </x:c>
      <x:c r="F778" s="162" t="n">
        <x:v>0</x:v>
      </x:c>
      <x:c r="G778" s="144" t="n">
        <x:v>0.027659995119253458</x:v>
      </x:c>
      <x:c r="H778" s="144" t="n">
        <x:v>0.5</x:v>
      </x:c>
      <x:c r="I778" s="137" t="str">
        <x:v>NONPOSITIVE-MODEL-MARGIN</x:v>
      </x:c>
      <x:c r="J778" s="137" t="str">
        <x:v>V0.7-CONTROLLED-RESEARCH-SCREEN-NOT-DISTRIBUTION</x:v>
      </x:c>
    </x:row>
    <x:row r="779" ht="22" customHeight="1">
      <x:c r="A779" s="136" t="str">
        <x:v>SCR-0774</x:v>
      </x:c>
      <x:c r="B779" s="143" t="n">
        <x:v>9.282051282051281e-7</x:v>
      </x:c>
      <x:c r="C779" s="143" t="n">
        <x:v>0.013461538461538462</x:v>
      </x:c>
      <x:c r="D779" s="161" t="n">
        <x:v>1</x:v>
      </x:c>
      <x:c r="E779" s="163" t="n">
        <x:v>-2801.1475701483273</x:v>
      </x:c>
      <x:c r="F779" s="163" t="n">
        <x:v>0</x:v>
      </x:c>
      <x:c r="G779" s="145" t="n">
        <x:v>0.02795852026062307</x:v>
      </x:c>
      <x:c r="H779" s="145" t="n">
        <x:v>0.5</x:v>
      </x:c>
      <x:c r="I779" s="136" t="str">
        <x:v>NONPOSITIVE-MODEL-MARGIN</x:v>
      </x:c>
      <x:c r="J779" s="136" t="str">
        <x:v>V0.7-CONTROLLED-RESEARCH-SCREEN-NOT-DISTRIBUTION</x:v>
      </x:c>
    </x:row>
    <x:row r="780" ht="22" customHeight="1">
      <x:c r="A780" s="137" t="str">
        <x:v>SCR-0775</x:v>
      </x:c>
      <x:c r="B780" s="142" t="n">
        <x:v>9.282051282051281e-7</x:v>
      </x:c>
      <x:c r="C780" s="142" t="n">
        <x:v>0.01376923076923077</x:v>
      </x:c>
      <x:c r="D780" s="160" t="n">
        <x:v>1</x:v>
      </x:c>
      <x:c r="E780" s="162" t="n">
        <x:v>-2818.955813986619</x:v>
      </x:c>
      <x:c r="F780" s="162" t="n">
        <x:v>0</x:v>
      </x:c>
      <x:c r="G780" s="144" t="n">
        <x:v>0.028257045401992677</x:v>
      </x:c>
      <x:c r="H780" s="144" t="n">
        <x:v>0.5</x:v>
      </x:c>
      <x:c r="I780" s="137" t="str">
        <x:v>NONPOSITIVE-MODEL-MARGIN</x:v>
      </x:c>
      <x:c r="J780" s="137" t="str">
        <x:v>V0.7-CONTROLLED-RESEARCH-SCREEN-NOT-DISTRIBUTION</x:v>
      </x:c>
    </x:row>
    <x:row r="781" ht="22" customHeight="1">
      <x:c r="A781" s="136" t="str">
        <x:v>SCR-0776</x:v>
      </x:c>
      <x:c r="B781" s="143" t="n">
        <x:v>9.282051282051281e-7</x:v>
      </x:c>
      <x:c r="C781" s="143" t="n">
        <x:v>0.014076923076923077</x:v>
      </x:c>
      <x:c r="D781" s="161" t="n">
        <x:v>1</x:v>
      </x:c>
      <x:c r="E781" s="163" t="n">
        <x:v>-2836.7138182704502</x:v>
      </x:c>
      <x:c r="F781" s="163" t="n">
        <x:v>0</x:v>
      </x:c>
      <x:c r="G781" s="145" t="n">
        <x:v>0.02855557054336228</x:v>
      </x:c>
      <x:c r="H781" s="145" t="n">
        <x:v>0.5</x:v>
      </x:c>
      <x:c r="I781" s="136" t="str">
        <x:v>NONPOSITIVE-MODEL-MARGIN</x:v>
      </x:c>
      <x:c r="J781" s="136" t="str">
        <x:v>V0.7-CONTROLLED-RESEARCH-SCREEN-NOT-DISTRIBUTION</x:v>
      </x:c>
    </x:row>
    <x:row r="782" ht="22" customHeight="1">
      <x:c r="A782" s="137" t="str">
        <x:v>SCR-0777</x:v>
      </x:c>
      <x:c r="B782" s="142" t="n">
        <x:v>9.282051282051281e-7</x:v>
      </x:c>
      <x:c r="C782" s="142" t="n">
        <x:v>0.014384615384615385</x:v>
      </x:c>
      <x:c r="D782" s="160" t="n">
        <x:v>1</x:v>
      </x:c>
      <x:c r="E782" s="162" t="n">
        <x:v>-2854.4219888174657</x:v>
      </x:c>
      <x:c r="F782" s="162" t="n">
        <x:v>0</x:v>
      </x:c>
      <x:c r="G782" s="144" t="n">
        <x:v>0.02885409568473189</x:v>
      </x:c>
      <x:c r="H782" s="144" t="n">
        <x:v>0.5</x:v>
      </x:c>
      <x:c r="I782" s="137" t="str">
        <x:v>NONPOSITIVE-MODEL-MARGIN</x:v>
      </x:c>
      <x:c r="J782" s="137" t="str">
        <x:v>V0.7-CONTROLLED-RESEARCH-SCREEN-NOT-DISTRIBUTION</x:v>
      </x:c>
    </x:row>
    <x:row r="783" ht="22" customHeight="1">
      <x:c r="A783" s="136" t="str">
        <x:v>SCR-0778</x:v>
      </x:c>
      <x:c r="B783" s="143" t="n">
        <x:v>9.282051282051281e-7</x:v>
      </x:c>
      <x:c r="C783" s="143" t="n">
        <x:v>0.014692307692307692</x:v>
      </x:c>
      <x:c r="D783" s="161" t="n">
        <x:v>1</x:v>
      </x:c>
      <x:c r="E783" s="163" t="n">
        <x:v>-2872.080725059481</x:v>
      </x:c>
      <x:c r="F783" s="163" t="n">
        <x:v>0</x:v>
      </x:c>
      <x:c r="G783" s="145" t="n">
        <x:v>0.029152620826101493</x:v>
      </x:c>
      <x:c r="H783" s="145" t="n">
        <x:v>0.5</x:v>
      </x:c>
      <x:c r="I783" s="136" t="str">
        <x:v>NONPOSITIVE-MODEL-MARGIN</x:v>
      </x:c>
      <x:c r="J783" s="136" t="str">
        <x:v>V0.7-CONTROLLED-RESEARCH-SCREEN-NOT-DISTRIBUTION</x:v>
      </x:c>
    </x:row>
    <x:row r="784" ht="22" customHeight="1">
      <x:c r="A784" s="137" t="str">
        <x:v>SCR-0779</x:v>
      </x:c>
      <x:c r="B784" s="142" t="n">
        <x:v>9.282051282051281e-7</x:v>
      </x:c>
      <x:c r="C784" s="142" t="n">
        <x:v>0.015</x:v>
      </x:c>
      <x:c r="D784" s="160" t="n">
        <x:v>1</x:v>
      </x:c>
      <x:c r="E784" s="162" t="n">
        <x:v>-2889.6904201770626</x:v>
      </x:c>
      <x:c r="F784" s="162" t="n">
        <x:v>0</x:v>
      </x:c>
      <x:c r="G784" s="144" t="n">
        <x:v>0.0294511459674711</x:v>
      </x:c>
      <x:c r="H784" s="144" t="n">
        <x:v>0.5</x:v>
      </x:c>
      <x:c r="I784" s="137" t="str">
        <x:v>NONPOSITIVE-MODEL-MARGIN</x:v>
      </x:c>
      <x:c r="J784" s="137" t="str">
        <x:v>V0.7-CONTROLLED-RESEARCH-SCREEN-NOT-DISTRIBUTION</x:v>
      </x:c>
    </x:row>
    <x:row r="785" ht="22" customHeight="1">
      <x:c r="A785" s="136" t="str">
        <x:v>SCR-0780</x:v>
      </x:c>
      <x:c r="B785" s="143" t="n">
        <x:v>9.769230769230768e-7</x:v>
      </x:c>
      <x:c r="C785" s="143" t="n">
        <x:v>0.003</x:v>
      </x:c>
      <x:c r="D785" s="161" t="n">
        <x:v>66</x:v>
      </x:c>
      <x:c r="E785" s="163" t="n">
        <x:v>1478.433846406002</x:v>
      </x:c>
      <x:c r="F785" s="163" t="n">
        <x:v>1478</x:v>
      </x:c>
      <x:c r="G785" s="145" t="n">
        <x:v>0.02244358221867457</x:v>
      </x:c>
      <x:c r="H785" s="145" t="n">
        <x:v>0.14032893124430898</x:v>
      </x:c>
      <x:c r="I785" s="136" t="str">
        <x:v>POSITIVE-MODEL-MARGIN</x:v>
      </x:c>
      <x:c r="J785" s="136" t="str">
        <x:v>V0.7-CONTROLLED-RESEARCH-SCREEN-NOT-DISTRIBUTION</x:v>
      </x:c>
    </x:row>
    <x:row r="786" ht="22" customHeight="1">
      <x:c r="A786" s="137" t="str">
        <x:v>SCR-0781</x:v>
      </x:c>
      <x:c r="B786" s="142" t="n">
        <x:v>9.769230769230768e-7</x:v>
      </x:c>
      <x:c r="C786" s="142" t="n">
        <x:v>0.003307692307692308</x:v>
      </x:c>
      <x:c r="D786" s="160" t="n">
        <x:v>65</x:v>
      </x:c>
      <x:c r="E786" s="162" t="n">
        <x:v>240.24131650093125</x:v>
      </x:c>
      <x:c r="F786" s="162" t="n">
        <x:v>240</x:v>
      </x:c>
      <x:c r="G786" s="144" t="n">
        <x:v>0.02264004720246232</x:v>
      </x:c>
      <x:c r="H786" s="144" t="n">
        <x:v>0.142229878707552</x:v>
      </x:c>
      <x:c r="I786" s="137" t="str">
        <x:v>POSITIVE-MODEL-MARGIN</x:v>
      </x:c>
      <x:c r="J786" s="137" t="str">
        <x:v>V0.7-CONTROLLED-RESEARCH-SCREEN-NOT-DISTRIBUTION</x:v>
      </x:c>
    </x:row>
    <x:row r="787" ht="22" customHeight="1">
      <x:c r="A787" s="136" t="str">
        <x:v>SCR-0782</x:v>
      </x:c>
      <x:c r="B787" s="143" t="n">
        <x:v>9.769230769230768e-7</x:v>
      </x:c>
      <x:c r="C787" s="143" t="n">
        <x:v>0.0036153846153846154</x:v>
      </x:c>
      <x:c r="D787" s="161" t="n">
        <x:v>65</x:v>
      </x:c>
      <x:c r="E787" s="163" t="n">
        <x:v>-978.7832524609438</x:v>
      </x:c>
      <x:c r="F787" s="163" t="n">
        <x:v>0</x:v>
      </x:c>
      <x:c r="G787" s="145" t="n">
        <x:v>0.022935764341195233</x:v>
      </x:c>
      <x:c r="H787" s="145" t="n">
        <x:v>0.14383950424257874</x:v>
      </x:c>
      <x:c r="I787" s="136" t="str">
        <x:v>NONPOSITIVE-MODEL-MARGIN</x:v>
      </x:c>
      <x:c r="J787" s="136" t="str">
        <x:v>V0.7-CONTROLLED-RESEARCH-SCREEN-NOT-DISTRIBUTION</x:v>
      </x:c>
    </x:row>
    <x:row r="788" ht="22" customHeight="1">
      <x:c r="A788" s="137" t="str">
        <x:v>SCR-0783</x:v>
      </x:c>
      <x:c r="B788" s="142" t="n">
        <x:v>9.769230769230768e-7</x:v>
      </x:c>
      <x:c r="C788" s="142" t="n">
        <x:v>0.003923076923076923</x:v>
      </x:c>
      <x:c r="D788" s="160" t="n">
        <x:v>64</x:v>
      </x:c>
      <x:c r="E788" s="162" t="n">
        <x:v>-2186.4227675657858</x:v>
      </x:c>
      <x:c r="F788" s="162" t="n">
        <x:v>0</x:v>
      </x:c>
      <x:c r="G788" s="144" t="n">
        <x:v>0.0231321759683254</x:v>
      </x:c>
      <x:c r="H788" s="144" t="n">
        <x:v>0.14578994141480822</x:v>
      </x:c>
      <x:c r="I788" s="137" t="str">
        <x:v>NONPOSITIVE-MODEL-MARGIN</x:v>
      </x:c>
      <x:c r="J788" s="137" t="str">
        <x:v>V0.7-CONTROLLED-RESEARCH-SCREEN-NOT-DISTRIBUTION</x:v>
      </x:c>
    </x:row>
    <x:row r="789" ht="22" customHeight="1">
      <x:c r="A789" s="136" t="str">
        <x:v>SCR-0784</x:v>
      </x:c>
      <x:c r="B789" s="143" t="n">
        <x:v>9.769230769230768e-7</x:v>
      </x:c>
      <x:c r="C789" s="143" t="n">
        <x:v>0.004230769230769231</x:v>
      </x:c>
      <x:c r="D789" s="161" t="n">
        <x:v>1</x:v>
      </x:c>
      <x:c r="E789" s="163" t="n">
        <x:v>-2278.85011214878</x:v>
      </x:c>
      <x:c r="F789" s="163" t="n">
        <x:v>0</x:v>
      </x:c>
      <x:c r="G789" s="145" t="n">
        <x:v>0.019729374068780288</x:v>
      </x:c>
      <x:c r="H789" s="145" t="n">
        <x:v>0.5</x:v>
      </x:c>
      <x:c r="I789" s="136" t="str">
        <x:v>NONPOSITIVE-MODEL-MARGIN</x:v>
      </x:c>
      <x:c r="J789" s="136" t="str">
        <x:v>V0.7-CONTROLLED-RESEARCH-SCREEN-NOT-DISTRIBUTION</x:v>
      </x:c>
    </x:row>
    <x:row r="790" ht="22" customHeight="1">
      <x:c r="A790" s="137" t="str">
        <x:v>SCR-0785</x:v>
      </x:c>
      <x:c r="B790" s="142" t="n">
        <x:v>9.769230769230768e-7</x:v>
      </x:c>
      <x:c r="C790" s="142" t="n">
        <x:v>0.004538461538461538</x:v>
      </x:c>
      <x:c r="D790" s="160" t="n">
        <x:v>1</x:v>
      </x:c>
      <x:c r="E790" s="162" t="n">
        <x:v>-2298.2831310834104</x:v>
      </x:c>
      <x:c r="F790" s="162" t="n">
        <x:v>0</x:v>
      </x:c>
      <x:c r="G790" s="144" t="n">
        <x:v>0.02002744827937273</x:v>
      </x:c>
      <x:c r="H790" s="144" t="n">
        <x:v>0.5</x:v>
      </x:c>
      <x:c r="I790" s="137" t="str">
        <x:v>NONPOSITIVE-MODEL-MARGIN</x:v>
      </x:c>
      <x:c r="J790" s="137" t="str">
        <x:v>V0.7-CONTROLLED-RESEARCH-SCREEN-NOT-DISTRIBUTION</x:v>
      </x:c>
    </x:row>
    <x:row r="791" ht="22" customHeight="1">
      <x:c r="A791" s="136" t="str">
        <x:v>SCR-0786</x:v>
      </x:c>
      <x:c r="B791" s="143" t="n">
        <x:v>9.769230769230768e-7</x:v>
      </x:c>
      <x:c r="C791" s="143" t="n">
        <x:v>0.004846153846153846</x:v>
      </x:c>
      <x:c r="D791" s="161" t="n">
        <x:v>1</x:v>
      </x:c>
      <x:c r="E791" s="163" t="n">
        <x:v>-2317.6509698268083</x:v>
      </x:c>
      <x:c r="F791" s="163" t="n">
        <x:v>0</x:v>
      </x:c>
      <x:c r="G791" s="145" t="n">
        <x:v>0.02032552248996517</x:v>
      </x:c>
      <x:c r="H791" s="145" t="n">
        <x:v>0.5</x:v>
      </x:c>
      <x:c r="I791" s="136" t="str">
        <x:v>NONPOSITIVE-MODEL-MARGIN</x:v>
      </x:c>
      <x:c r="J791" s="136" t="str">
        <x:v>V0.7-CONTROLLED-RESEARCH-SCREEN-NOT-DISTRIBUTION</x:v>
      </x:c>
    </x:row>
    <x:row r="792" ht="22" customHeight="1">
      <x:c r="A792" s="137" t="str">
        <x:v>SCR-0787</x:v>
      </x:c>
      <x:c r="B792" s="142" t="n">
        <x:v>9.769230769230768e-7</x:v>
      </x:c>
      <x:c r="C792" s="142" t="n">
        <x:v>0.005</x:v>
      </x:c>
      <x:c r="D792" s="160" t="n">
        <x:v>1</x:v>
      </x:c>
      <x:c r="E792" s="162" t="n">
        <x:v>-2327.3106544980033</x:v>
      </x:c>
      <x:c r="F792" s="162" t="n">
        <x:v>0</x:v>
      </x:c>
      <x:c r="G792" s="144" t="n">
        <x:v>0.020474559595261392</x:v>
      </x:c>
      <x:c r="H792" s="144" t="n">
        <x:v>0.5</x:v>
      </x:c>
      <x:c r="I792" s="137" t="str">
        <x:v>NONPOSITIVE-MODEL-MARGIN</x:v>
      </x:c>
      <x:c r="J792" s="137" t="str">
        <x:v>V0.7-CONTROLLED-RESEARCH-SCREEN-NOT-DISTRIBUTION</x:v>
      </x:c>
    </x:row>
    <x:row r="793" ht="22" customHeight="1">
      <x:c r="A793" s="136" t="str">
        <x:v>SCR-0788</x:v>
      </x:c>
      <x:c r="B793" s="143" t="n">
        <x:v>9.769230769230768e-7</x:v>
      </x:c>
      <x:c r="C793" s="143" t="n">
        <x:v>0.005153846153846154</x:v>
      </x:c>
      <x:c r="D793" s="161" t="n">
        <x:v>1</x:v>
      </x:c>
      <x:c r="E793" s="163" t="n">
        <x:v>-2336.954292099753</x:v>
      </x:c>
      <x:c r="F793" s="163" t="n">
        <x:v>0</x:v>
      </x:c>
      <x:c r="G793" s="145" t="n">
        <x:v>0.02062359670055762</x:v>
      </x:c>
      <x:c r="H793" s="145" t="n">
        <x:v>0.5</x:v>
      </x:c>
      <x:c r="I793" s="136" t="str">
        <x:v>NONPOSITIVE-MODEL-MARGIN</x:v>
      </x:c>
      <x:c r="J793" s="136" t="str">
        <x:v>V0.7-CONTROLLED-RESEARCH-SCREEN-NOT-DISTRIBUTION</x:v>
      </x:c>
    </x:row>
    <x:row r="794" ht="22" customHeight="1">
      <x:c r="A794" s="137" t="str">
        <x:v>SCR-0789</x:v>
      </x:c>
      <x:c r="B794" s="142" t="n">
        <x:v>9.769230769230768e-7</x:v>
      </x:c>
      <x:c r="C794" s="142" t="n">
        <x:v>0.005461538461538462</x:v>
      </x:c>
      <x:c r="D794" s="160" t="n">
        <x:v>1</x:v>
      </x:c>
      <x:c r="E794" s="162" t="n">
        <x:v>-2360.039576081021</x:v>
      </x:c>
      <x:c r="F794" s="162" t="n">
        <x:v>0</x:v>
      </x:c>
      <x:c r="G794" s="144" t="n">
        <x:v>0.02092167091115006</x:v>
      </x:c>
      <x:c r="H794" s="144" t="n">
        <x:v>0.5</x:v>
      </x:c>
      <x:c r="I794" s="137" t="str">
        <x:v>NONPOSITIVE-MODEL-MARGIN</x:v>
      </x:c>
      <x:c r="J794" s="137" t="str">
        <x:v>V0.7-CONTROLLED-RESEARCH-SCREEN-NOT-DISTRIBUTION</x:v>
      </x:c>
    </x:row>
    <x:row r="795" ht="22" customHeight="1">
      <x:c r="A795" s="136" t="str">
        <x:v>SCR-0790</x:v>
      </x:c>
      <x:c r="B795" s="143" t="n">
        <x:v>9.769230769230768e-7</x:v>
      </x:c>
      <x:c r="C795" s="143" t="n">
        <x:v>0.0057692307692307696</x:v>
      </x:c>
      <x:c r="D795" s="161" t="n">
        <x:v>1</x:v>
      </x:c>
      <x:c r="E795" s="163" t="n">
        <x:v>-2379.201358920765</x:v>
      </x:c>
      <x:c r="F795" s="163" t="n">
        <x:v>0</x:v>
      </x:c>
      <x:c r="G795" s="145" t="n">
        <x:v>0.021219745121742507</x:v>
      </x:c>
      <x:c r="H795" s="145" t="n">
        <x:v>0.5</x:v>
      </x:c>
      <x:c r="I795" s="136" t="str">
        <x:v>NONPOSITIVE-MODEL-MARGIN</x:v>
      </x:c>
      <x:c r="J795" s="136" t="str">
        <x:v>V0.7-CONTROLLED-RESEARCH-SCREEN-NOT-DISTRIBUTION</x:v>
      </x:c>
    </x:row>
    <x:row r="796" ht="22" customHeight="1">
      <x:c r="A796" s="137" t="str">
        <x:v>SCR-0791</x:v>
      </x:c>
      <x:c r="B796" s="142" t="n">
        <x:v>9.769230769230768e-7</x:v>
      </x:c>
      <x:c r="C796" s="142" t="n">
        <x:v>0.006076923076923077</x:v>
      </x:c>
      <x:c r="D796" s="160" t="n">
        <x:v>1</x:v>
      </x:c>
      <x:c r="E796" s="162" t="n">
        <x:v>-2398.3007443358733</x:v>
      </x:c>
      <x:c r="F796" s="162" t="n">
        <x:v>0</x:v>
      </x:c>
      <x:c r="G796" s="144" t="n">
        <x:v>0.021517819332334952</x:v>
      </x:c>
      <x:c r="H796" s="144" t="n">
        <x:v>0.5</x:v>
      </x:c>
      <x:c r="I796" s="137" t="str">
        <x:v>NONPOSITIVE-MODEL-MARGIN</x:v>
      </x:c>
      <x:c r="J796" s="137" t="str">
        <x:v>V0.7-CONTROLLED-RESEARCH-SCREEN-NOT-DISTRIBUTION</x:v>
      </x:c>
    </x:row>
    <x:row r="797" ht="22" customHeight="1">
      <x:c r="A797" s="136" t="str">
        <x:v>SCR-0792</x:v>
      </x:c>
      <x:c r="B797" s="143" t="n">
        <x:v>9.769230769230768e-7</x:v>
      </x:c>
      <x:c r="C797" s="143" t="n">
        <x:v>0.006384615384615384</x:v>
      </x:c>
      <x:c r="D797" s="161" t="n">
        <x:v>1</x:v>
      </x:c>
      <x:c r="E797" s="163" t="n">
        <x:v>-2417.3383450063634</x:v>
      </x:c>
      <x:c r="F797" s="163" t="n">
        <x:v>0</x:v>
      </x:c>
      <x:c r="G797" s="145" t="n">
        <x:v>0.021815893542927393</x:v>
      </x:c>
      <x:c r="H797" s="145" t="n">
        <x:v>0.5</x:v>
      </x:c>
      <x:c r="I797" s="136" t="str">
        <x:v>NONPOSITIVE-MODEL-MARGIN</x:v>
      </x:c>
      <x:c r="J797" s="136" t="str">
        <x:v>V0.7-CONTROLLED-RESEARCH-SCREEN-NOT-DISTRIBUTION</x:v>
      </x:c>
    </x:row>
    <x:row r="798" ht="22" customHeight="1">
      <x:c r="A798" s="137" t="str">
        <x:v>SCR-0793</x:v>
      </x:c>
      <x:c r="B798" s="142" t="n">
        <x:v>9.769230769230768e-7</x:v>
      </x:c>
      <x:c r="C798" s="142" t="n">
        <x:v>0.006692307692307693</x:v>
      </x:c>
      <x:c r="D798" s="160" t="n">
        <x:v>1</x:v>
      </x:c>
      <x:c r="E798" s="162" t="n">
        <x:v>-2436.3147629169716</x:v>
      </x:c>
      <x:c r="F798" s="162" t="n">
        <x:v>0</x:v>
      </x:c>
      <x:c r="G798" s="144" t="n">
        <x:v>0.02211396775351984</x:v>
      </x:c>
      <x:c r="H798" s="144" t="n">
        <x:v>0.5</x:v>
      </x:c>
      <x:c r="I798" s="137" t="str">
        <x:v>NONPOSITIVE-MODEL-MARGIN</x:v>
      </x:c>
      <x:c r="J798" s="137" t="str">
        <x:v>V0.7-CONTROLLED-RESEARCH-SCREEN-NOT-DISTRIBUTION</x:v>
      </x:c>
    </x:row>
    <x:row r="799" ht="22" customHeight="1">
      <x:c r="A799" s="136" t="str">
        <x:v>SCR-0794</x:v>
      </x:c>
      <x:c r="B799" s="143" t="n">
        <x:v>9.769230769230768e-7</x:v>
      </x:c>
      <x:c r="C799" s="143" t="n">
        <x:v>0.007</x:v>
      </x:c>
      <x:c r="D799" s="161" t="n">
        <x:v>1</x:v>
      </x:c>
      <x:c r="E799" s="163" t="n">
        <x:v>-2455.230589547633</x:v>
      </x:c>
      <x:c r="F799" s="163" t="n">
        <x:v>0</x:v>
      </x:c>
      <x:c r="G799" s="145" t="n">
        <x:v>0.022412041964112284</x:v>
      </x:c>
      <x:c r="H799" s="145" t="n">
        <x:v>0.5</x:v>
      </x:c>
      <x:c r="I799" s="136" t="str">
        <x:v>NONPOSITIVE-MODEL-MARGIN</x:v>
      </x:c>
      <x:c r="J799" s="136" t="str">
        <x:v>V0.7-CONTROLLED-RESEARCH-SCREEN-NOT-DISTRIBUTION</x:v>
      </x:c>
    </x:row>
    <x:row r="800" ht="22" customHeight="1">
      <x:c r="A800" s="137" t="str">
        <x:v>SCR-0795</x:v>
      </x:c>
      <x:c r="B800" s="142" t="n">
        <x:v>9.769230769230768e-7</x:v>
      </x:c>
      <x:c r="C800" s="142" t="n">
        <x:v>0.007307692307692308</x:v>
      </x:c>
      <x:c r="D800" s="160" t="n">
        <x:v>1</x:v>
      </x:c>
      <x:c r="E800" s="162" t="n">
        <x:v>-2477.8483789109555</x:v>
      </x:c>
      <x:c r="F800" s="162" t="n">
        <x:v>0</x:v>
      </x:c>
      <x:c r="G800" s="144" t="n">
        <x:v>0.02271011617470473</x:v>
      </x:c>
      <x:c r="H800" s="144" t="n">
        <x:v>0.5</x:v>
      </x:c>
      <x:c r="I800" s="137" t="str">
        <x:v>NONPOSITIVE-MODEL-MARGIN</x:v>
      </x:c>
      <x:c r="J800" s="137" t="str">
        <x:v>V0.7-CONTROLLED-RESEARCH-SCREEN-NOT-DISTRIBUTION</x:v>
      </x:c>
    </x:row>
    <x:row r="801" ht="22" customHeight="1">
      <x:c r="A801" s="136" t="str">
        <x:v>SCR-0796</x:v>
      </x:c>
      <x:c r="B801" s="143" t="n">
        <x:v>9.769230769230768e-7</x:v>
      </x:c>
      <x:c r="C801" s="143" t="n">
        <x:v>0.007615384615384616</x:v>
      </x:c>
      <x:c r="D801" s="161" t="n">
        <x:v>1</x:v>
      </x:c>
      <x:c r="E801" s="163" t="n">
        <x:v>-2496.631411537129</x:v>
      </x:c>
      <x:c r="F801" s="163" t="n">
        <x:v>0</x:v>
      </x:c>
      <x:c r="G801" s="145" t="n">
        <x:v>0.02300819038529717</x:v>
      </x:c>
      <x:c r="H801" s="145" t="n">
        <x:v>0.5</x:v>
      </x:c>
      <x:c r="I801" s="136" t="str">
        <x:v>NONPOSITIVE-MODEL-MARGIN</x:v>
      </x:c>
      <x:c r="J801" s="136" t="str">
        <x:v>V0.7-CONTROLLED-RESEARCH-SCREEN-NOT-DISTRIBUTION</x:v>
      </x:c>
    </x:row>
    <x:row r="802" ht="22" customHeight="1">
      <x:c r="A802" s="137" t="str">
        <x:v>SCR-0797</x:v>
      </x:c>
      <x:c r="B802" s="142" t="n">
        <x:v>9.769230769230768e-7</x:v>
      </x:c>
      <x:c r="C802" s="142" t="n">
        <x:v>0.007923076923076923</x:v>
      </x:c>
      <x:c r="D802" s="160" t="n">
        <x:v>1</x:v>
      </x:c>
      <x:c r="E802" s="162" t="n">
        <x:v>-2515.355733988295</x:v>
      </x:c>
      <x:c r="F802" s="162" t="n">
        <x:v>0</x:v>
      </x:c>
      <x:c r="G802" s="144" t="n">
        <x:v>0.023306264595889616</x:v>
      </x:c>
      <x:c r="H802" s="144" t="n">
        <x:v>0.5</x:v>
      </x:c>
      <x:c r="I802" s="137" t="str">
        <x:v>NONPOSITIVE-MODEL-MARGIN</x:v>
      </x:c>
      <x:c r="J802" s="137" t="str">
        <x:v>V0.7-CONTROLLED-RESEARCH-SCREEN-NOT-DISTRIBUTION</x:v>
      </x:c>
    </x:row>
    <x:row r="803" ht="22" customHeight="1">
      <x:c r="A803" s="136" t="str">
        <x:v>SCR-0798</x:v>
      </x:c>
      <x:c r="B803" s="143" t="n">
        <x:v>9.769230769230768e-7</x:v>
      </x:c>
      <x:c r="C803" s="143" t="n">
        <x:v>0.00823076923076923</x:v>
      </x:c>
      <x:c r="D803" s="161" t="n">
        <x:v>1</x:v>
      </x:c>
      <x:c r="E803" s="163" t="n">
        <x:v>-2534.0218934009145</x:v>
      </x:c>
      <x:c r="F803" s="163" t="n">
        <x:v>0</x:v>
      </x:c>
      <x:c r="G803" s="145" t="n">
        <x:v>0.023604338806482057</x:v>
      </x:c>
      <x:c r="H803" s="145" t="n">
        <x:v>0.5</x:v>
      </x:c>
      <x:c r="I803" s="136" t="str">
        <x:v>NONPOSITIVE-MODEL-MARGIN</x:v>
      </x:c>
      <x:c r="J803" s="136" t="str">
        <x:v>V0.7-CONTROLLED-RESEARCH-SCREEN-NOT-DISTRIBUTION</x:v>
      </x:c>
    </x:row>
    <x:row r="804" ht="22" customHeight="1">
      <x:c r="A804" s="137" t="str">
        <x:v>SCR-0799</x:v>
      </x:c>
      <x:c r="B804" s="142" t="n">
        <x:v>9.769230769230768e-7</x:v>
      </x:c>
      <x:c r="C804" s="142" t="n">
        <x:v>0.00853846153846154</x:v>
      </x:c>
      <x:c r="D804" s="160" t="n">
        <x:v>1</x:v>
      </x:c>
      <x:c r="E804" s="162" t="n">
        <x:v>-2552.630427540375</x:v>
      </x:c>
      <x:c r="F804" s="162" t="n">
        <x:v>0</x:v>
      </x:c>
      <x:c r="G804" s="144" t="n">
        <x:v>0.0239024130170745</x:v>
      </x:c>
      <x:c r="H804" s="144" t="n">
        <x:v>0.5</x:v>
      </x:c>
      <x:c r="I804" s="137" t="str">
        <x:v>NONPOSITIVE-MODEL-MARGIN</x:v>
      </x:c>
      <x:c r="J804" s="137" t="str">
        <x:v>V0.7-CONTROLLED-RESEARCH-SCREEN-NOT-DISTRIBUTION</x:v>
      </x:c>
    </x:row>
    <x:row r="805" ht="22" customHeight="1">
      <x:c r="A805" s="136" t="str">
        <x:v>SCR-0800</x:v>
      </x:c>
      <x:c r="B805" s="143" t="n">
        <x:v>9.769230769230768e-7</x:v>
      </x:c>
      <x:c r="C805" s="143" t="n">
        <x:v>0.008846153846153847</x:v>
      </x:c>
      <x:c r="D805" s="161" t="n">
        <x:v>1</x:v>
      </x:c>
      <x:c r="E805" s="163" t="n">
        <x:v>-2571.1818649866414</x:v>
      </x:c>
      <x:c r="F805" s="163" t="n">
        <x:v>0</x:v>
      </x:c>
      <x:c r="G805" s="145" t="n">
        <x:v>0.024200487227666947</x:v>
      </x:c>
      <x:c r="H805" s="145" t="n">
        <x:v>0.5</x:v>
      </x:c>
      <x:c r="I805" s="136" t="str">
        <x:v>NONPOSITIVE-MODEL-MARGIN</x:v>
      </x:c>
      <x:c r="J805" s="136" t="str">
        <x:v>V0.7-CONTROLLED-RESEARCH-SCREEN-NOT-DISTRIBUTION</x:v>
      </x:c>
    </x:row>
    <x:row r="806" ht="22" customHeight="1">
      <x:c r="A806" s="137" t="str">
        <x:v>SCR-0801</x:v>
      </x:c>
      <x:c r="B806" s="142" t="n">
        <x:v>9.769230769230768e-7</x:v>
      </x:c>
      <x:c r="C806" s="142" t="n">
        <x:v>0.009153846153846155</x:v>
      </x:c>
      <x:c r="D806" s="160" t="n">
        <x:v>1</x:v>
      </x:c>
      <x:c r="E806" s="162" t="n">
        <x:v>-2589.676725318706</x:v>
      </x:c>
      <x:c r="F806" s="162" t="n">
        <x:v>0</x:v>
      </x:c>
      <x:c r="G806" s="144" t="n">
        <x:v>0.024498561438259393</x:v>
      </x:c>
      <x:c r="H806" s="144" t="n">
        <x:v>0.5</x:v>
      </x:c>
      <x:c r="I806" s="137" t="str">
        <x:v>NONPOSITIVE-MODEL-MARGIN</x:v>
      </x:c>
      <x:c r="J806" s="137" t="str">
        <x:v>V0.7-CONTROLLED-RESEARCH-SCREEN-NOT-DISTRIBUTION</x:v>
      </x:c>
    </x:row>
    <x:row r="807" ht="22" customHeight="1">
      <x:c r="A807" s="136" t="str">
        <x:v>SCR-0802</x:v>
      </x:c>
      <x:c r="B807" s="143" t="n">
        <x:v>9.769230769230768e-7</x:v>
      </x:c>
      <x:c r="C807" s="143" t="n">
        <x:v>0.009461538461538462</x:v>
      </x:c>
      <x:c r="D807" s="161" t="n">
        <x:v>1</x:v>
      </x:c>
      <x:c r="E807" s="163" t="n">
        <x:v>-2608.115519297593</x:v>
      </x:c>
      <x:c r="F807" s="163" t="n">
        <x:v>0</x:v>
      </x:c>
      <x:c r="G807" s="145" t="n">
        <x:v>0.024796635648851838</x:v>
      </x:c>
      <x:c r="H807" s="145" t="n">
        <x:v>0.5</x:v>
      </x:c>
      <x:c r="I807" s="136" t="str">
        <x:v>NONPOSITIVE-MODEL-MARGIN</x:v>
      </x:c>
      <x:c r="J807" s="136" t="str">
        <x:v>V0.7-CONTROLLED-RESEARCH-SCREEN-NOT-DISTRIBUTION</x:v>
      </x:c>
    </x:row>
    <x:row r="808" ht="22" customHeight="1">
      <x:c r="A808" s="137" t="str">
        <x:v>SCR-0803</x:v>
      </x:c>
      <x:c r="B808" s="142" t="n">
        <x:v>9.769230769230768e-7</x:v>
      </x:c>
      <x:c r="C808" s="142" t="n">
        <x:v>0.00976923076923077</x:v>
      </x:c>
      <x:c r="D808" s="160" t="n">
        <x:v>1</x:v>
      </x:c>
      <x:c r="E808" s="162" t="n">
        <x:v>-2630.15843231406</x:v>
      </x:c>
      <x:c r="F808" s="162" t="n">
        <x:v>0</x:v>
      </x:c>
      <x:c r="G808" s="144" t="n">
        <x:v>0.025094709859444276</x:v>
      </x:c>
      <x:c r="H808" s="144" t="n">
        <x:v>0.5</x:v>
      </x:c>
      <x:c r="I808" s="137" t="str">
        <x:v>NONPOSITIVE-MODEL-MARGIN</x:v>
      </x:c>
      <x:c r="J808" s="137" t="str">
        <x:v>V0.7-CONTROLLED-RESEARCH-SCREEN-NOT-DISTRIBUTION</x:v>
      </x:c>
    </x:row>
    <x:row r="809" ht="22" customHeight="1">
      <x:c r="A809" s="136" t="str">
        <x:v>SCR-0804</x:v>
      </x:c>
      <x:c r="B809" s="143" t="n">
        <x:v>9.769230769230768e-7</x:v>
      </x:c>
      <x:c r="C809" s="143" t="n">
        <x:v>0.010076923076923077</x:v>
      </x:c>
      <x:c r="D809" s="161" t="n">
        <x:v>1</x:v>
      </x:c>
      <x:c r="E809" s="163" t="n">
        <x:v>-2648.474477726894</x:v>
      </x:c>
      <x:c r="F809" s="163" t="n">
        <x:v>0</x:v>
      </x:c>
      <x:c r="G809" s="145" t="n">
        <x:v>0.02539278407003672</x:v>
      </x:c>
      <x:c r="H809" s="145" t="n">
        <x:v>0.5</x:v>
      </x:c>
      <x:c r="I809" s="136" t="str">
        <x:v>NONPOSITIVE-MODEL-MARGIN</x:v>
      </x:c>
      <x:c r="J809" s="136" t="str">
        <x:v>V0.7-CONTROLLED-RESEARCH-SCREEN-NOT-DISTRIBUTION</x:v>
      </x:c>
    </x:row>
    <x:row r="810" ht="22" customHeight="1">
      <x:c r="A810" s="137" t="str">
        <x:v>SCR-0805</x:v>
      </x:c>
      <x:c r="B810" s="142" t="n">
        <x:v>9.769230769230768e-7</x:v>
      </x:c>
      <x:c r="C810" s="142" t="n">
        <x:v>0.010384615384615384</x:v>
      </x:c>
      <x:c r="D810" s="160" t="n">
        <x:v>1</x:v>
      </x:c>
      <x:c r="E810" s="162" t="n">
        <x:v>-2666.7360756708263</x:v>
      </x:c>
      <x:c r="F810" s="162" t="n">
        <x:v>0</x:v>
      </x:c>
      <x:c r="G810" s="144" t="n">
        <x:v>0.02569085828062917</x:v>
      </x:c>
      <x:c r="H810" s="144" t="n">
        <x:v>0.5</x:v>
      </x:c>
      <x:c r="I810" s="137" t="str">
        <x:v>NONPOSITIVE-MODEL-MARGIN</x:v>
      </x:c>
      <x:c r="J810" s="137" t="str">
        <x:v>V0.7-CONTROLLED-RESEARCH-SCREEN-NOT-DISTRIBUTION</x:v>
      </x:c>
    </x:row>
    <x:row r="811" ht="22" customHeight="1">
      <x:c r="A811" s="136" t="str">
        <x:v>SCR-0806</x:v>
      </x:c>
      <x:c r="B811" s="143" t="n">
        <x:v>9.769230769230768e-7</x:v>
      </x:c>
      <x:c r="C811" s="143" t="n">
        <x:v>0.010692307692307692</x:v>
      </x:c>
      <x:c r="D811" s="161" t="n">
        <x:v>1</x:v>
      </x:c>
      <x:c r="E811" s="163" t="n">
        <x:v>-2684.9437002435548</x:v>
      </x:c>
      <x:c r="F811" s="163" t="n">
        <x:v>0</x:v>
      </x:c>
      <x:c r="G811" s="145" t="n">
        <x:v>0.02598893249122161</x:v>
      </x:c>
      <x:c r="H811" s="145" t="n">
        <x:v>0.5</x:v>
      </x:c>
      <x:c r="I811" s="136" t="str">
        <x:v>NONPOSITIVE-MODEL-MARGIN</x:v>
      </x:c>
      <x:c r="J811" s="136" t="str">
        <x:v>V0.7-CONTROLLED-RESEARCH-SCREEN-NOT-DISTRIBUTION</x:v>
      </x:c>
    </x:row>
    <x:row r="812" ht="22" customHeight="1">
      <x:c r="A812" s="137" t="str">
        <x:v>SCR-0807</x:v>
      </x:c>
      <x:c r="B812" s="142" t="n">
        <x:v>9.769230769230768e-7</x:v>
      </x:c>
      <x:c r="C812" s="142" t="n">
        <x:v>0.011</x:v>
      </x:c>
      <x:c r="D812" s="160" t="n">
        <x:v>1</x:v>
      </x:c>
      <x:c r="E812" s="162" t="n">
        <x:v>-2703.0978177150087</x:v>
      </x:c>
      <x:c r="F812" s="162" t="n">
        <x:v>0</x:v>
      </x:c>
      <x:c r="G812" s="144" t="n">
        <x:v>0.026287006701814056</x:v>
      </x:c>
      <x:c r="H812" s="144" t="n">
        <x:v>0.5</x:v>
      </x:c>
      <x:c r="I812" s="137" t="str">
        <x:v>NONPOSITIVE-MODEL-MARGIN</x:v>
      </x:c>
      <x:c r="J812" s="137" t="str">
        <x:v>V0.7-CONTROLLED-RESEARCH-SCREEN-NOT-DISTRIBUTION</x:v>
      </x:c>
    </x:row>
    <x:row r="813" ht="22" customHeight="1">
      <x:c r="A813" s="136" t="str">
        <x:v>SCR-0808</x:v>
      </x:c>
      <x:c r="B813" s="143" t="n">
        <x:v>9.769230769230768e-7</x:v>
      </x:c>
      <x:c r="C813" s="143" t="n">
        <x:v>0.011307692307692307</x:v>
      </x:c>
      <x:c r="D813" s="161" t="n">
        <x:v>1</x:v>
      </x:c>
      <x:c r="E813" s="163" t="n">
        <x:v>-2721.198886690609</x:v>
      </x:c>
      <x:c r="F813" s="163" t="n">
        <x:v>0</x:v>
      </x:c>
      <x:c r="G813" s="145" t="n">
        <x:v>0.026585080912406498</x:v>
      </x:c>
      <x:c r="H813" s="145" t="n">
        <x:v>0.5</x:v>
      </x:c>
      <x:c r="I813" s="136" t="str">
        <x:v>NONPOSITIVE-MODEL-MARGIN</x:v>
      </x:c>
      <x:c r="J813" s="136" t="str">
        <x:v>V0.7-CONTROLLED-RESEARCH-SCREEN-NOT-DISTRIBUTION</x:v>
      </x:c>
    </x:row>
    <x:row r="814" ht="22" customHeight="1">
      <x:c r="A814" s="137" t="str">
        <x:v>SCR-0809</x:v>
      </x:c>
      <x:c r="B814" s="142" t="n">
        <x:v>9.769230769230768e-7</x:v>
      </x:c>
      <x:c r="C814" s="142" t="n">
        <x:v>0.011615384615384614</x:v>
      </x:c>
      <x:c r="D814" s="160" t="n">
        <x:v>1</x:v>
      </x:c>
      <x:c r="E814" s="162" t="n">
        <x:v>-2739.2473582717944</x:v>
      </x:c>
      <x:c r="F814" s="162" t="n">
        <x:v>0</x:v>
      </x:c>
      <x:c r="G814" s="144" t="n">
        <x:v>0.02688315512299894</x:v>
      </x:c>
      <x:c r="H814" s="144" t="n">
        <x:v>0.5</x:v>
      </x:c>
      <x:c r="I814" s="137" t="str">
        <x:v>NONPOSITIVE-MODEL-MARGIN</x:v>
      </x:c>
      <x:c r="J814" s="137" t="str">
        <x:v>V0.7-CONTROLLED-RESEARCH-SCREEN-NOT-DISTRIBUTION</x:v>
      </x:c>
    </x:row>
    <x:row r="815" ht="22" customHeight="1">
      <x:c r="A815" s="136" t="str">
        <x:v>SCR-0810</x:v>
      </x:c>
      <x:c r="B815" s="143" t="n">
        <x:v>9.769230769230768e-7</x:v>
      </x:c>
      <x:c r="C815" s="143" t="n">
        <x:v>0.011923076923076925</x:v>
      </x:c>
      <x:c r="D815" s="161" t="n">
        <x:v>1</x:v>
      </x:c>
      <x:c r="E815" s="163" t="n">
        <x:v>-2757.2436762136313</x:v>
      </x:c>
      <x:c r="F815" s="163" t="n">
        <x:v>0</x:v>
      </x:c>
      <x:c r="G815" s="145" t="n">
        <x:v>0.027181229333591385</x:v>
      </x:c>
      <x:c r="H815" s="145" t="n">
        <x:v>0.5</x:v>
      </x:c>
      <x:c r="I815" s="136" t="str">
        <x:v>NONPOSITIVE-MODEL-MARGIN</x:v>
      </x:c>
      <x:c r="J815" s="136" t="str">
        <x:v>V0.7-CONTROLLED-RESEARCH-SCREEN-NOT-DISTRIBUTION</x:v>
      </x:c>
    </x:row>
    <x:row r="816" ht="22" customHeight="1">
      <x:c r="A816" s="137" t="str">
        <x:v>SCR-0811</x:v>
      </x:c>
      <x:c r="B816" s="142" t="n">
        <x:v>9.769230769230768e-7</x:v>
      </x:c>
      <x:c r="C816" s="142" t="n">
        <x:v>0.012230769230769233</x:v>
      </x:c>
      <x:c r="D816" s="160" t="n">
        <x:v>1</x:v>
      </x:c>
      <x:c r="E816" s="162" t="n">
        <x:v>-2775.1882770795632</x:v>
      </x:c>
      <x:c r="F816" s="162" t="n">
        <x:v>0</x:v>
      </x:c>
      <x:c r="G816" s="144" t="n">
        <x:v>0.027479303544183833</x:v>
      </x:c>
      <x:c r="H816" s="144" t="n">
        <x:v>0.5</x:v>
      </x:c>
      <x:c r="I816" s="137" t="str">
        <x:v>NONPOSITIVE-MODEL-MARGIN</x:v>
      </x:c>
      <x:c r="J816" s="137" t="str">
        <x:v>V0.7-CONTROLLED-RESEARCH-SCREEN-NOT-DISTRIBUTION</x:v>
      </x:c>
    </x:row>
    <x:row r="817" ht="22" customHeight="1">
      <x:c r="A817" s="136" t="str">
        <x:v>SCR-0812</x:v>
      </x:c>
      <x:c r="B817" s="143" t="n">
        <x:v>9.769230769230768e-7</x:v>
      </x:c>
      <x:c r="C817" s="143" t="n">
        <x:v>0.01253846153846154</x:v>
      </x:c>
      <x:c r="D817" s="161" t="n">
        <x:v>1</x:v>
      </x:c>
      <x:c r="E817" s="163" t="n">
        <x:v>-2793.0815903931525</x:v>
      </x:c>
      <x:c r="F817" s="163" t="n">
        <x:v>0</x:v>
      </x:c>
      <x:c r="G817" s="145" t="n">
        <x:v>0.027777377754776275</x:v>
      </x:c>
      <x:c r="H817" s="145" t="n">
        <x:v>0.5</x:v>
      </x:c>
      <x:c r="I817" s="136" t="str">
        <x:v>NONPOSITIVE-MODEL-MARGIN</x:v>
      </x:c>
      <x:c r="J817" s="136" t="str">
        <x:v>V0.7-CONTROLLED-RESEARCH-SCREEN-NOT-DISTRIBUTION</x:v>
      </x:c>
    </x:row>
    <x:row r="818" ht="22" customHeight="1">
      <x:c r="A818" s="137" t="str">
        <x:v>SCR-0813</x:v>
      </x:c>
      <x:c r="B818" s="142" t="n">
        <x:v>9.769230769230768e-7</x:v>
      </x:c>
      <x:c r="C818" s="142" t="n">
        <x:v>0.012846153846153847</x:v>
      </x:c>
      <x:c r="D818" s="160" t="n">
        <x:v>1</x:v>
      </x:c>
      <x:c r="E818" s="162" t="n">
        <x:v>-2810.924038786806</x:v>
      </x:c>
      <x:c r="F818" s="162" t="n">
        <x:v>0</x:v>
      </x:c>
      <x:c r="G818" s="144" t="n">
        <x:v>0.02807545196536872</x:v>
      </x:c>
      <x:c r="H818" s="144" t="n">
        <x:v>0.5</x:v>
      </x:c>
      <x:c r="I818" s="137" t="str">
        <x:v>NONPOSITIVE-MODEL-MARGIN</x:v>
      </x:c>
      <x:c r="J818" s="137" t="str">
        <x:v>V0.7-CONTROLLED-RESEARCH-SCREEN-NOT-DISTRIBUTION</x:v>
      </x:c>
    </x:row>
    <x:row r="819" ht="22" customHeight="1">
      <x:c r="A819" s="136" t="str">
        <x:v>SCR-0814</x:v>
      </x:c>
      <x:c r="B819" s="143" t="n">
        <x:v>9.769230769230768e-7</x:v>
      </x:c>
      <x:c r="C819" s="143" t="n">
        <x:v>0.013153846153846155</x:v>
      </x:c>
      <x:c r="D819" s="161" t="n">
        <x:v>1</x:v>
      </x:c>
      <x:c r="E819" s="163" t="n">
        <x:v>-2828.71603814743</x:v>
      </x:c>
      <x:c r="F819" s="163" t="n">
        <x:v>0</x:v>
      </x:c>
      <x:c r="G819" s="145" t="n">
        <x:v>0.028373526175961162</x:v>
      </x:c>
      <x:c r="H819" s="145" t="n">
        <x:v>0.5</x:v>
      </x:c>
      <x:c r="I819" s="136" t="str">
        <x:v>NONPOSITIVE-MODEL-MARGIN</x:v>
      </x:c>
      <x:c r="J819" s="136" t="str">
        <x:v>V0.7-CONTROLLED-RESEARCH-SCREEN-NOT-DISTRIBUTION</x:v>
      </x:c>
    </x:row>
    <x:row r="820" ht="22" customHeight="1">
      <x:c r="A820" s="137" t="str">
        <x:v>SCR-0815</x:v>
      </x:c>
      <x:c r="B820" s="142" t="n">
        <x:v>9.769230769230768e-7</x:v>
      </x:c>
      <x:c r="C820" s="142" t="n">
        <x:v>0.013461538461538462</x:v>
      </x:c>
      <x:c r="D820" s="160" t="n">
        <x:v>1</x:v>
      </x:c>
      <x:c r="E820" s="162" t="n">
        <x:v>-2846.4579977590865</x:v>
      </x:c>
      <x:c r="F820" s="162" t="n">
        <x:v>0</x:v>
      </x:c>
      <x:c r="G820" s="144" t="n">
        <x:v>0.028671600386553604</x:v>
      </x:c>
      <x:c r="H820" s="144" t="n">
        <x:v>0.5</x:v>
      </x:c>
      <x:c r="I820" s="137" t="str">
        <x:v>NONPOSITIVE-MODEL-MARGIN</x:v>
      </x:c>
      <x:c r="J820" s="137" t="str">
        <x:v>V0.7-CONTROLLED-RESEARCH-SCREEN-NOT-DISTRIBUTION</x:v>
      </x:c>
    </x:row>
    <x:row r="821" ht="22" customHeight="1">
      <x:c r="A821" s="136" t="str">
        <x:v>SCR-0816</x:v>
      </x:c>
      <x:c r="B821" s="143" t="n">
        <x:v>9.769230769230768e-7</x:v>
      </x:c>
      <x:c r="C821" s="143" t="n">
        <x:v>0.01376923076923077</x:v>
      </x:c>
      <x:c r="D821" s="161" t="n">
        <x:v>1</x:v>
      </x:c>
      <x:c r="E821" s="163" t="n">
        <x:v>-2864.150320442575</x:v>
      </x:c>
      <x:c r="F821" s="163" t="n">
        <x:v>0</x:v>
      </x:c>
      <x:c r="G821" s="145" t="n">
        <x:v>0.02896967459714605</x:v>
      </x:c>
      <x:c r="H821" s="145" t="n">
        <x:v>0.5</x:v>
      </x:c>
      <x:c r="I821" s="136" t="str">
        <x:v>NONPOSITIVE-MODEL-MARGIN</x:v>
      </x:c>
      <x:c r="J821" s="136" t="str">
        <x:v>V0.7-CONTROLLED-RESEARCH-SCREEN-NOT-DISTRIBUTION</x:v>
      </x:c>
    </x:row>
    <x:row r="822" ht="22" customHeight="1">
      <x:c r="A822" s="137" t="str">
        <x:v>SCR-0817</x:v>
      </x:c>
      <x:c r="B822" s="142" t="n">
        <x:v>9.769230769230768e-7</x:v>
      </x:c>
      <x:c r="C822" s="142" t="n">
        <x:v>0.014076923076923077</x:v>
      </x:c>
      <x:c r="D822" s="160" t="n">
        <x:v>1</x:v>
      </x:c>
      <x:c r="E822" s="162" t="n">
        <x:v>-2885.29496719027</x:v>
      </x:c>
      <x:c r="F822" s="162" t="n">
        <x:v>0</x:v>
      </x:c>
      <x:c r="G822" s="144" t="n">
        <x:v>0.029267748807738497</x:v>
      </x:c>
      <x:c r="H822" s="144" t="n">
        <x:v>0.5</x:v>
      </x:c>
      <x:c r="I822" s="137" t="str">
        <x:v>NONPOSITIVE-MODEL-MARGIN</x:v>
      </x:c>
      <x:c r="J822" s="137" t="str">
        <x:v>V0.7-CONTROLLED-RESEARCH-SCREEN-NOT-DISTRIBUTION</x:v>
      </x:c>
    </x:row>
    <x:row r="823" ht="22" customHeight="1">
      <x:c r="A823" s="136" t="str">
        <x:v>SCR-0818</x:v>
      </x:c>
      <x:c r="B823" s="143" t="n">
        <x:v>9.769230769230768e-7</x:v>
      </x:c>
      <x:c r="C823" s="143" t="n">
        <x:v>0.014384615384615385</x:v>
      </x:c>
      <x:c r="D823" s="161" t="n">
        <x:v>1</x:v>
      </x:c>
      <x:c r="E823" s="163" t="n">
        <x:v>-2902.8787593179727</x:v>
      </x:c>
      <x:c r="F823" s="163" t="n">
        <x:v>0</x:v>
      </x:c>
      <x:c r="G823" s="145" t="n">
        <x:v>0.029565823018330942</x:v>
      </x:c>
      <x:c r="H823" s="145" t="n">
        <x:v>0.5</x:v>
      </x:c>
      <x:c r="I823" s="136" t="str">
        <x:v>NONPOSITIVE-MODEL-MARGIN</x:v>
      </x:c>
      <x:c r="J823" s="136" t="str">
        <x:v>V0.7-CONTROLLED-RESEARCH-SCREEN-NOT-DISTRIBUTION</x:v>
      </x:c>
    </x:row>
    <x:row r="824" ht="22" customHeight="1">
      <x:c r="A824" s="137" t="str">
        <x:v>SCR-0819</x:v>
      </x:c>
      <x:c r="B824" s="142" t="n">
        <x:v>9.769230769230768e-7</x:v>
      </x:c>
      <x:c r="C824" s="142" t="n">
        <x:v>0.014692307692307692</x:v>
      </x:c>
      <x:c r="D824" s="160" t="n">
        <x:v>1</x:v>
      </x:c>
      <x:c r="E824" s="162" t="n">
        <x:v>-2920.414187102262</x:v>
      </x:c>
      <x:c r="F824" s="162" t="n">
        <x:v>0</x:v>
      </x:c>
      <x:c r="G824" s="144" t="n">
        <x:v>0.029863897228923384</x:v>
      </x:c>
      <x:c r="H824" s="144" t="n">
        <x:v>0.5</x:v>
      </x:c>
      <x:c r="I824" s="137" t="str">
        <x:v>NONPOSITIVE-MODEL-MARGIN</x:v>
      </x:c>
      <x:c r="J824" s="137" t="str">
        <x:v>V0.7-CONTROLLED-RESEARCH-SCREEN-NOT-DISTRIBUTION</x:v>
      </x:c>
    </x:row>
    <x:row r="825" ht="22" customHeight="1">
      <x:c r="A825" s="136" t="str">
        <x:v>SCR-0820</x:v>
      </x:c>
      <x:c r="B825" s="143" t="n">
        <x:v>9.769230769230768e-7</x:v>
      </x:c>
      <x:c r="C825" s="143" t="n">
        <x:v>0.015</x:v>
      </x:c>
      <x:c r="D825" s="161" t="n">
        <x:v>1</x:v>
      </x:c>
      <x:c r="E825" s="163" t="n">
        <x:v>-2937.901626826953</x:v>
      </x:c>
      <x:c r="F825" s="163" t="n">
        <x:v>0</x:v>
      </x:c>
      <x:c r="G825" s="145" t="n">
        <x:v>0.030161971439515833</x:v>
      </x:c>
      <x:c r="H825" s="145" t="n">
        <x:v>0.5</x:v>
      </x:c>
      <x:c r="I825" s="136" t="str">
        <x:v>NONPOSITIVE-MODEL-MARGIN</x:v>
      </x:c>
      <x:c r="J825" s="136" t="str">
        <x:v>V0.7-CONTROLLED-RESEARCH-SCREEN-NOT-DISTRIBUTION</x:v>
      </x:c>
    </x:row>
    <x:row r="826" ht="22" customHeight="1">
      <x:c r="A826" s="137" t="str">
        <x:v>SCR-0821</x:v>
      </x:c>
      <x:c r="B826" s="142" t="n">
        <x:v>0.0000010256410256410257</x:v>
      </x:c>
      <x:c r="C826" s="142" t="n">
        <x:v>0.003</x:v>
      </x:c>
      <x:c r="D826" s="160" t="n">
        <x:v>1</x:v>
      </x:c>
      <x:c r="E826" s="162" t="n">
        <x:v>-2250.1724221091495</x:v>
      </x:c>
      <x:c r="F826" s="162" t="n">
        <x:v>0</x:v>
      </x:c>
      <x:c r="G826" s="144" t="n">
        <x:v>0.01926329174409198</x:v>
      </x:c>
      <x:c r="H826" s="144" t="n">
        <x:v>0.5</x:v>
      </x:c>
      <x:c r="I826" s="137" t="str">
        <x:v>NONPOSITIVE-MODEL-MARGIN</x:v>
      </x:c>
      <x:c r="J826" s="137" t="str">
        <x:v>V0.7-CONTROLLED-RESEARCH-SCREEN-NOT-DISTRIBUTION</x:v>
      </x:c>
    </x:row>
    <x:row r="827" ht="22" customHeight="1">
      <x:c r="A827" s="136" t="str">
        <x:v>SCR-0822</x:v>
      </x:c>
      <x:c r="B827" s="143" t="n">
        <x:v>0.0000010256410256410257</x:v>
      </x:c>
      <x:c r="C827" s="143" t="n">
        <x:v>0.003307692307692308</x:v>
      </x:c>
      <x:c r="D827" s="161" t="n">
        <x:v>1</x:v>
      </x:c>
      <x:c r="E827" s="163" t="n">
        <x:v>-2269.7136466997404</x:v>
      </x:c>
      <x:c r="F827" s="163" t="n">
        <x:v>0</x:v>
      </x:c>
      <x:c r="G827" s="145" t="n">
        <x:v>0.01956091638414039</x:v>
      </x:c>
      <x:c r="H827" s="145" t="n">
        <x:v>0.5</x:v>
      </x:c>
      <x:c r="I827" s="136" t="str">
        <x:v>NONPOSITIVE-MODEL-MARGIN</x:v>
      </x:c>
      <x:c r="J827" s="136" t="str">
        <x:v>V0.7-CONTROLLED-RESEARCH-SCREEN-NOT-DISTRIBUTION</x:v>
      </x:c>
    </x:row>
    <x:row r="828" ht="22" customHeight="1">
      <x:c r="A828" s="137" t="str">
        <x:v>SCR-0823</x:v>
      </x:c>
      <x:c r="B828" s="142" t="n">
        <x:v>0.0000010256410256410257</x:v>
      </x:c>
      <x:c r="C828" s="142" t="n">
        <x:v>0.0036153846153846154</x:v>
      </x:c>
      <x:c r="D828" s="160" t="n">
        <x:v>1</x:v>
      </x:c>
      <x:c r="E828" s="162" t="n">
        <x:v>-2289.188656118486</x:v>
      </x:c>
      <x:c r="F828" s="162" t="n">
        <x:v>0</x:v>
      </x:c>
      <x:c r="G828" s="144" t="n">
        <x:v>0.019858541024188808</x:v>
      </x:c>
      <x:c r="H828" s="144" t="n">
        <x:v>0.5</x:v>
      </x:c>
      <x:c r="I828" s="137" t="str">
        <x:v>NONPOSITIVE-MODEL-MARGIN</x:v>
      </x:c>
      <x:c r="J828" s="137" t="str">
        <x:v>V0.7-CONTROLLED-RESEARCH-SCREEN-NOT-DISTRIBUTION</x:v>
      </x:c>
    </x:row>
    <x:row r="829" ht="22" customHeight="1">
      <x:c r="A829" s="136" t="str">
        <x:v>SCR-0824</x:v>
      </x:c>
      <x:c r="B829" s="143" t="n">
        <x:v>0.0000010256410256410257</x:v>
      </x:c>
      <x:c r="C829" s="143" t="n">
        <x:v>0.003923076923076923</x:v>
      </x:c>
      <x:c r="D829" s="161" t="n">
        <x:v>1</x:v>
      </x:c>
      <x:c r="E829" s="163" t="n">
        <x:v>-2308.5981328167154</x:v>
      </x:c>
      <x:c r="F829" s="163" t="n">
        <x:v>0</x:v>
      </x:c>
      <x:c r="G829" s="145" t="n">
        <x:v>0.020156165664237214</x:v>
      </x:c>
      <x:c r="H829" s="145" t="n">
        <x:v>0.5</x:v>
      </x:c>
      <x:c r="I829" s="136" t="str">
        <x:v>NONPOSITIVE-MODEL-MARGIN</x:v>
      </x:c>
      <x:c r="J829" s="136" t="str">
        <x:v>V0.7-CONTROLLED-RESEARCH-SCREEN-NOT-DISTRIBUTION</x:v>
      </x:c>
    </x:row>
    <x:row r="830" ht="22" customHeight="1">
      <x:c r="A830" s="137" t="str">
        <x:v>SCR-0825</x:v>
      </x:c>
      <x:c r="B830" s="142" t="n">
        <x:v>0.0000010256410256410257</x:v>
      </x:c>
      <x:c r="C830" s="142" t="n">
        <x:v>0.004230769230769231</x:v>
      </x:c>
      <x:c r="D830" s="160" t="n">
        <x:v>1</x:v>
      </x:c>
      <x:c r="E830" s="162" t="n">
        <x:v>-2327.942747255959</x:v>
      </x:c>
      <x:c r="F830" s="162" t="n">
        <x:v>0</x:v>
      </x:c>
      <x:c r="G830" s="144" t="n">
        <x:v>0.020453790304285624</x:v>
      </x:c>
      <x:c r="H830" s="144" t="n">
        <x:v>0.5</x:v>
      </x:c>
      <x:c r="I830" s="137" t="str">
        <x:v>NONPOSITIVE-MODEL-MARGIN</x:v>
      </x:c>
      <x:c r="J830" s="137" t="str">
        <x:v>V0.7-CONTROLLED-RESEARCH-SCREEN-NOT-DISTRIBUTION</x:v>
      </x:c>
    </x:row>
    <x:row r="831" ht="22" customHeight="1">
      <x:c r="A831" s="136" t="str">
        <x:v>SCR-0826</x:v>
      </x:c>
      <x:c r="B831" s="143" t="n">
        <x:v>0.0000010256410256410257</x:v>
      </x:c>
      <x:c r="C831" s="143" t="n">
        <x:v>0.004538461538461538</x:v>
      </x:c>
      <x:c r="D831" s="161" t="n">
        <x:v>1</x:v>
      </x:c>
      <x:c r="E831" s="163" t="n">
        <x:v>-2351.0773291723103</x:v>
      </x:c>
      <x:c r="F831" s="163" t="n">
        <x:v>0</x:v>
      </x:c>
      <x:c r="G831" s="145" t="n">
        <x:v>0.020751414944334037</x:v>
      </x:c>
      <x:c r="H831" s="145" t="n">
        <x:v>0.5</x:v>
      </x:c>
      <x:c r="I831" s="136" t="str">
        <x:v>NONPOSITIVE-MODEL-MARGIN</x:v>
      </x:c>
      <x:c r="J831" s="136" t="str">
        <x:v>V0.7-CONTROLLED-RESEARCH-SCREEN-NOT-DISTRIBUTION</x:v>
      </x:c>
    </x:row>
    <x:row r="832" ht="22" customHeight="1">
      <x:c r="A832" s="137" t="str">
        <x:v>SCR-0827</x:v>
      </x:c>
      <x:c r="B832" s="142" t="n">
        <x:v>0.0000010256410256410257</x:v>
      </x:c>
      <x:c r="C832" s="142" t="n">
        <x:v>0.004846153846153846</x:v>
      </x:c>
      <x:c r="D832" s="160" t="n">
        <x:v>1</x:v>
      </x:c>
      <x:c r="E832" s="162" t="n">
        <x:v>-2370.2796389080654</x:v>
      </x:c>
      <x:c r="F832" s="162" t="n">
        <x:v>0</x:v>
      </x:c>
      <x:c r="G832" s="144" t="n">
        <x:v>0.021049039584382447</x:v>
      </x:c>
      <x:c r="H832" s="144" t="n">
        <x:v>0.5</x:v>
      </x:c>
      <x:c r="I832" s="137" t="str">
        <x:v>NONPOSITIVE-MODEL-MARGIN</x:v>
      </x:c>
      <x:c r="J832" s="137" t="str">
        <x:v>V0.7-CONTROLLED-RESEARCH-SCREEN-NOT-DISTRIBUTION</x:v>
      </x:c>
    </x:row>
    <x:row r="833" ht="22" customHeight="1">
      <x:c r="A833" s="136" t="str">
        <x:v>SCR-0828</x:v>
      </x:c>
      <x:c r="B833" s="143" t="n">
        <x:v>0.0000010256410256410257</x:v>
      </x:c>
      <x:c r="C833" s="143" t="n">
        <x:v>0.005</x:v>
      </x:c>
      <x:c r="D833" s="161" t="n">
        <x:v>1</x:v>
      </x:c>
      <x:c r="E833" s="163" t="n">
        <x:v>-2379.857234398039</x:v>
      </x:c>
      <x:c r="F833" s="163" t="n">
        <x:v>0</x:v>
      </x:c>
      <x:c r="G833" s="145" t="n">
        <x:v>0.021197851904406654</x:v>
      </x:c>
      <x:c r="H833" s="145" t="n">
        <x:v>0.5</x:v>
      </x:c>
      <x:c r="I833" s="136" t="str">
        <x:v>NONPOSITIVE-MODEL-MARGIN</x:v>
      </x:c>
      <x:c r="J833" s="136" t="str">
        <x:v>V0.7-CONTROLLED-RESEARCH-SCREEN-NOT-DISTRIBUTION</x:v>
      </x:c>
    </x:row>
    <x:row r="834" ht="22" customHeight="1">
      <x:c r="A834" s="137" t="str">
        <x:v>SCR-0829</x:v>
      </x:c>
      <x:c r="B834" s="142" t="n">
        <x:v>0.0000010256410256410257</x:v>
      </x:c>
      <x:c r="C834" s="142" t="n">
        <x:v>0.005153846153846154</x:v>
      </x:c>
      <x:c r="D834" s="160" t="n">
        <x:v>1</x:v>
      </x:c>
      <x:c r="E834" s="162" t="n">
        <x:v>-2389.4192274465954</x:v>
      </x:c>
      <x:c r="F834" s="162" t="n">
        <x:v>0</x:v>
      </x:c>
      <x:c r="G834" s="144" t="n">
        <x:v>0.021346664224430854</x:v>
      </x:c>
      <x:c r="H834" s="144" t="n">
        <x:v>0.5</x:v>
      </x:c>
      <x:c r="I834" s="137" t="str">
        <x:v>NONPOSITIVE-MODEL-MARGIN</x:v>
      </x:c>
      <x:c r="J834" s="137" t="str">
        <x:v>V0.7-CONTROLLED-RESEARCH-SCREEN-NOT-DISTRIBUTION</x:v>
      </x:c>
    </x:row>
    <x:row r="835" ht="22" customHeight="1">
      <x:c r="A835" s="136" t="str">
        <x:v>SCR-0830</x:v>
      </x:c>
      <x:c r="B835" s="143" t="n">
        <x:v>0.0000010256410256410257</x:v>
      </x:c>
      <x:c r="C835" s="143" t="n">
        <x:v>0.005461538461538462</x:v>
      </x:c>
      <x:c r="D835" s="161" t="n">
        <x:v>1</x:v>
      </x:c>
      <x:c r="E835" s="163" t="n">
        <x:v>-2408.496713556063</x:v>
      </x:c>
      <x:c r="F835" s="163" t="n">
        <x:v>0</x:v>
      </x:c>
      <x:c r="G835" s="145" t="n">
        <x:v>0.021644288864479277</x:v>
      </x:c>
      <x:c r="H835" s="145" t="n">
        <x:v>0.5</x:v>
      </x:c>
      <x:c r="I835" s="136" t="str">
        <x:v>NONPOSITIVE-MODEL-MARGIN</x:v>
      </x:c>
      <x:c r="J835" s="136" t="str">
        <x:v>V0.7-CONTROLLED-RESEARCH-SCREEN-NOT-DISTRIBUTION</x:v>
      </x:c>
    </x:row>
    <x:row r="836" ht="22" customHeight="1">
      <x:c r="A836" s="137" t="str">
        <x:v>SCR-0831</x:v>
      </x:c>
      <x:c r="B836" s="142" t="n">
        <x:v>0.0000010256410256410257</x:v>
      </x:c>
      <x:c r="C836" s="142" t="n">
        <x:v>0.0057692307692307696</x:v>
      </x:c>
      <x:c r="D836" s="160" t="n">
        <x:v>1</x:v>
      </x:c>
      <x:c r="E836" s="162" t="n">
        <x:v>-2427.5127051792388</x:v>
      </x:c>
      <x:c r="F836" s="162" t="n">
        <x:v>0</x:v>
      </x:c>
      <x:c r="G836" s="144" t="n">
        <x:v>0.021941913504527684</x:v>
      </x:c>
      <x:c r="H836" s="144" t="n">
        <x:v>0.5</x:v>
      </x:c>
      <x:c r="I836" s="137" t="str">
        <x:v>NONPOSITIVE-MODEL-MARGIN</x:v>
      </x:c>
      <x:c r="J836" s="137" t="str">
        <x:v>V0.7-CONTROLLED-RESEARCH-SCREEN-NOT-DISTRIBUTION</x:v>
      </x:c>
    </x:row>
    <x:row r="837" ht="22" customHeight="1">
      <x:c r="A837" s="136" t="str">
        <x:v>SCR-0832</x:v>
      </x:c>
      <x:c r="B837" s="143" t="n">
        <x:v>0.0000010256410256410257</x:v>
      </x:c>
      <x:c r="C837" s="143" t="n">
        <x:v>0.006076923076923077</x:v>
      </x:c>
      <x:c r="D837" s="161" t="n">
        <x:v>1</x:v>
      </x:c>
      <x:c r="E837" s="163" t="n">
        <x:v>-2446.4677996246937</x:v>
      </x:c>
      <x:c r="F837" s="163" t="n">
        <x:v>0</x:v>
      </x:c>
      <x:c r="G837" s="145" t="n">
        <x:v>0.02223953814457609</x:v>
      </x:c>
      <x:c r="H837" s="145" t="n">
        <x:v>0.5</x:v>
      </x:c>
      <x:c r="I837" s="136" t="str">
        <x:v>NONPOSITIVE-MODEL-MARGIN</x:v>
      </x:c>
      <x:c r="J837" s="136" t="str">
        <x:v>V0.7-CONTROLLED-RESEARCH-SCREEN-NOT-DISTRIBUTION</x:v>
      </x:c>
    </x:row>
    <x:row r="838" ht="22" customHeight="1">
      <x:c r="A838" s="137" t="str">
        <x:v>SCR-0833</x:v>
      </x:c>
      <x:c r="B838" s="142" t="n">
        <x:v>0.0000010256410256410257</x:v>
      </x:c>
      <x:c r="C838" s="142" t="n">
        <x:v>0.006384615384615384</x:v>
      </x:c>
      <x:c r="D838" s="160" t="n">
        <x:v>1</x:v>
      </x:c>
      <x:c r="E838" s="162" t="n">
        <x:v>-2469.1323784078845</x:v>
      </x:c>
      <x:c r="F838" s="162" t="n">
        <x:v>0</x:v>
      </x:c>
      <x:c r="G838" s="144" t="n">
        <x:v>0.022537162784624504</x:v>
      </x:c>
      <x:c r="H838" s="144" t="n">
        <x:v>0.5</x:v>
      </x:c>
      <x:c r="I838" s="137" t="str">
        <x:v>NONPOSITIVE-MODEL-MARGIN</x:v>
      </x:c>
      <x:c r="J838" s="137" t="str">
        <x:v>V0.7-CONTROLLED-RESEARCH-SCREEN-NOT-DISTRIBUTION</x:v>
      </x:c>
    </x:row>
    <x:row r="839" ht="22" customHeight="1">
      <x:c r="A839" s="136" t="str">
        <x:v>SCR-0834</x:v>
      </x:c>
      <x:c r="B839" s="143" t="n">
        <x:v>0.0000010256410256410257</x:v>
      </x:c>
      <x:c r="C839" s="143" t="n">
        <x:v>0.006692307692307693</x:v>
      </x:c>
      <x:c r="D839" s="161" t="n">
        <x:v>1</x:v>
      </x:c>
      <x:c r="E839" s="163" t="n">
        <x:v>-2487.954004814685</x:v>
      </x:c>
      <x:c r="F839" s="163" t="n">
        <x:v>0</x:v>
      </x:c>
      <x:c r="G839" s="145" t="n">
        <x:v>0.022834787424672914</x:v>
      </x:c>
      <x:c r="H839" s="145" t="n">
        <x:v>0.5</x:v>
      </x:c>
      <x:c r="I839" s="136" t="str">
        <x:v>NONPOSITIVE-MODEL-MARGIN</x:v>
      </x:c>
      <x:c r="J839" s="136" t="str">
        <x:v>V0.7-CONTROLLED-RESEARCH-SCREEN-NOT-DISTRIBUTION</x:v>
      </x:c>
    </x:row>
    <x:row r="840" ht="22" customHeight="1">
      <x:c r="A840" s="137" t="str">
        <x:v>SCR-0835</x:v>
      </x:c>
      <x:c r="B840" s="142" t="n">
        <x:v>0.0000010256410256410257</x:v>
      </x:c>
      <x:c r="C840" s="142" t="n">
        <x:v>0.007</x:v>
      </x:c>
      <x:c r="D840" s="160" t="n">
        <x:v>1</x:v>
      </x:c>
      <x:c r="E840" s="162" t="n">
        <x:v>-2506.7166339163514</x:v>
      </x:c>
      <x:c r="F840" s="162" t="n">
        <x:v>0</x:v>
      </x:c>
      <x:c r="G840" s="144" t="n">
        <x:v>0.023132412064721327</x:v>
      </x:c>
      <x:c r="H840" s="144" t="n">
        <x:v>0.5</x:v>
      </x:c>
      <x:c r="I840" s="137" t="str">
        <x:v>NONPOSITIVE-MODEL-MARGIN</x:v>
      </x:c>
      <x:c r="J840" s="137" t="str">
        <x:v>V0.7-CONTROLLED-RESEARCH-SCREEN-NOT-DISTRIBUTION</x:v>
      </x:c>
    </x:row>
    <x:row r="841" ht="22" customHeight="1">
      <x:c r="A841" s="136" t="str">
        <x:v>SCR-0836</x:v>
      </x:c>
      <x:c r="B841" s="143" t="n">
        <x:v>0.0000010256410256410257</x:v>
      </x:c>
      <x:c r="C841" s="143" t="n">
        <x:v>0.007307692307692308</x:v>
      </x:c>
      <x:c r="D841" s="161" t="n">
        <x:v>1</x:v>
      </x:c>
      <x:c r="E841" s="163" t="n">
        <x:v>-2525.420818096262</x:v>
      </x:c>
      <x:c r="F841" s="163" t="n">
        <x:v>0</x:v>
      </x:c>
      <x:c r="G841" s="145" t="n">
        <x:v>0.02343003670476974</x:v>
      </x:c>
      <x:c r="H841" s="145" t="n">
        <x:v>0.5</x:v>
      </x:c>
      <x:c r="I841" s="136" t="str">
        <x:v>NONPOSITIVE-MODEL-MARGIN</x:v>
      </x:c>
      <x:c r="J841" s="136" t="str">
        <x:v>V0.7-CONTROLLED-RESEARCH-SCREEN-NOT-DISTRIBUTION</x:v>
      </x:c>
    </x:row>
    <x:row r="842" ht="22" customHeight="1">
      <x:c r="A842" s="137" t="str">
        <x:v>SCR-0837</x:v>
      </x:c>
      <x:c r="B842" s="142" t="n">
        <x:v>0.0000010256410256410257</x:v>
      </x:c>
      <x:c r="C842" s="142" t="n">
        <x:v>0.007615384615384616</x:v>
      </x:c>
      <x:c r="D842" s="160" t="n">
        <x:v>1</x:v>
      </x:c>
      <x:c r="E842" s="162" t="n">
        <x:v>-2544.0671002491717</x:v>
      </x:c>
      <x:c r="F842" s="162" t="n">
        <x:v>0</x:v>
      </x:c>
      <x:c r="G842" s="144" t="n">
        <x:v>0.02372766134481815</x:v>
      </x:c>
      <x:c r="H842" s="144" t="n">
        <x:v>0.5</x:v>
      </x:c>
      <x:c r="I842" s="137" t="str">
        <x:v>NONPOSITIVE-MODEL-MARGIN</x:v>
      </x:c>
      <x:c r="J842" s="137" t="str">
        <x:v>V0.7-CONTROLLED-RESEARCH-SCREEN-NOT-DISTRIBUTION</x:v>
      </x:c>
    </x:row>
    <x:row r="843" ht="22" customHeight="1">
      <x:c r="A843" s="136" t="str">
        <x:v>SCR-0838</x:v>
      </x:c>
      <x:c r="B843" s="143" t="n">
        <x:v>0.0000010256410256410257</x:v>
      </x:c>
      <x:c r="C843" s="143" t="n">
        <x:v>0.007923076923076923</x:v>
      </x:c>
      <x:c r="D843" s="161" t="n">
        <x:v>1</x:v>
      </x:c>
      <x:c r="E843" s="163" t="n">
        <x:v>-2562.656013968682</x:v>
      </x:c>
      <x:c r="F843" s="163" t="n">
        <x:v>0</x:v>
      </x:c>
      <x:c r="G843" s="145" t="n">
        <x:v>0.02402528598486656</x:v>
      </x:c>
      <x:c r="H843" s="145" t="n">
        <x:v>0.5</x:v>
      </x:c>
      <x:c r="I843" s="136" t="str">
        <x:v>NONPOSITIVE-MODEL-MARGIN</x:v>
      </x:c>
      <x:c r="J843" s="136" t="str">
        <x:v>V0.7-CONTROLLED-RESEARCH-SCREEN-NOT-DISTRIBUTION</x:v>
      </x:c>
    </x:row>
    <x:row r="844" ht="22" customHeight="1">
      <x:c r="A844" s="137" t="str">
        <x:v>SCR-0839</x:v>
      </x:c>
      <x:c r="B844" s="142" t="n">
        <x:v>0.0000010256410256410257</x:v>
      </x:c>
      <x:c r="C844" s="142" t="n">
        <x:v>0.00823076923076923</x:v>
      </x:c>
      <x:c r="D844" s="160" t="n">
        <x:v>1</x:v>
      </x:c>
      <x:c r="E844" s="162" t="n">
        <x:v>-2581.1880837337885</x:v>
      </x:c>
      <x:c r="F844" s="162" t="n">
        <x:v>0</x:v>
      </x:c>
      <x:c r="G844" s="144" t="n">
        <x:v>0.024322910624914974</x:v>
      </x:c>
      <x:c r="H844" s="144" t="n">
        <x:v>0.5</x:v>
      </x:c>
      <x:c r="I844" s="137" t="str">
        <x:v>NONPOSITIVE-MODEL-MARGIN</x:v>
      </x:c>
      <x:c r="J844" s="137" t="str">
        <x:v>V0.7-CONTROLLED-RESEARCH-SCREEN-NOT-DISTRIBUTION</x:v>
      </x:c>
    </x:row>
    <x:row r="845" ht="22" customHeight="1">
      <x:c r="A845" s="136" t="str">
        <x:v>SCR-0840</x:v>
      </x:c>
      <x:c r="B845" s="143" t="n">
        <x:v>0.0000010256410256410257</x:v>
      </x:c>
      <x:c r="C845" s="143" t="n">
        <x:v>0.00853846153846154</x:v>
      </x:c>
      <x:c r="D845" s="161" t="n">
        <x:v>1</x:v>
      </x:c>
      <x:c r="E845" s="163" t="n">
        <x:v>-2603.3430708222663</x:v>
      </x:c>
      <x:c r="F845" s="163" t="n">
        <x:v>0</x:v>
      </x:c>
      <x:c r="G845" s="145" t="n">
        <x:v>0.024620535264963387</x:v>
      </x:c>
      <x:c r="H845" s="145" t="n">
        <x:v>0.5</x:v>
      </x:c>
      <x:c r="I845" s="136" t="str">
        <x:v>NONPOSITIVE-MODEL-MARGIN</x:v>
      </x:c>
      <x:c r="J845" s="136" t="str">
        <x:v>V0.7-CONTROLLED-RESEARCH-SCREEN-NOT-DISTRIBUTION</x:v>
      </x:c>
    </x:row>
    <x:row r="846" ht="22" customHeight="1">
      <x:c r="A846" s="137" t="str">
        <x:v>SCR-0841</x:v>
      </x:c>
      <x:c r="B846" s="142" t="n">
        <x:v>0.0000010256410256410257</x:v>
      </x:c>
      <x:c r="C846" s="142" t="n">
        <x:v>0.008846153846153847</x:v>
      </x:c>
      <x:c r="D846" s="160" t="n">
        <x:v>1</x:v>
      </x:c>
      <x:c r="E846" s="162" t="n">
        <x:v>-2621.750669407382</x:v>
      </x:c>
      <x:c r="F846" s="162" t="n">
        <x:v>0</x:v>
      </x:c>
      <x:c r="G846" s="144" t="n">
        <x:v>0.024918159905011797</x:v>
      </x:c>
      <x:c r="H846" s="144" t="n">
        <x:v>0.5</x:v>
      </x:c>
      <x:c r="I846" s="137" t="str">
        <x:v>NONPOSITIVE-MODEL-MARGIN</x:v>
      </x:c>
      <x:c r="J846" s="137" t="str">
        <x:v>V0.7-CONTROLLED-RESEARCH-SCREEN-NOT-DISTRIBUTION</x:v>
      </x:c>
    </x:row>
    <x:row r="847" ht="22" customHeight="1">
      <x:c r="A847" s="136" t="str">
        <x:v>SCR-0842</x:v>
      </x:c>
      <x:c r="B847" s="143" t="n">
        <x:v>0.0000010256410256410257</x:v>
      </x:c>
      <x:c r="C847" s="143" t="n">
        <x:v>0.009153846153846155</x:v>
      </x:c>
      <x:c r="D847" s="161" t="n">
        <x:v>1</x:v>
      </x:c>
      <x:c r="E847" s="163" t="n">
        <x:v>-2640.10308720713</x:v>
      </x:c>
      <x:c r="F847" s="163" t="n">
        <x:v>0</x:v>
      </x:c>
      <x:c r="G847" s="145" t="n">
        <x:v>0.02521578454506021</x:v>
      </x:c>
      <x:c r="H847" s="145" t="n">
        <x:v>0.5</x:v>
      </x:c>
      <x:c r="I847" s="136" t="str">
        <x:v>NONPOSITIVE-MODEL-MARGIN</x:v>
      </x:c>
      <x:c r="J847" s="136" t="str">
        <x:v>V0.7-CONTROLLED-RESEARCH-SCREEN-NOT-DISTRIBUTION</x:v>
      </x:c>
    </x:row>
    <x:row r="848" ht="22" customHeight="1">
      <x:c r="A848" s="137" t="str">
        <x:v>SCR-0843</x:v>
      </x:c>
      <x:c r="B848" s="142" t="n">
        <x:v>0.0000010256410256410257</x:v>
      </x:c>
      <x:c r="C848" s="142" t="n">
        <x:v>0.009461538461538462</x:v>
      </x:c>
      <x:c r="D848" s="160" t="n">
        <x:v>1</x:v>
      </x:c>
      <x:c r="E848" s="162" t="n">
        <x:v>-2658.400810725008</x:v>
      </x:c>
      <x:c r="F848" s="162" t="n">
        <x:v>0</x:v>
      </x:c>
      <x:c r="G848" s="144" t="n">
        <x:v>0.02551340918510862</x:v>
      </x:c>
      <x:c r="H848" s="144" t="n">
        <x:v>0.5</x:v>
      </x:c>
      <x:c r="I848" s="137" t="str">
        <x:v>NONPOSITIVE-MODEL-MARGIN</x:v>
      </x:c>
      <x:c r="J848" s="137" t="str">
        <x:v>V0.7-CONTROLLED-RESEARCH-SCREEN-NOT-DISTRIBUTION</x:v>
      </x:c>
    </x:row>
    <x:row r="849" ht="22" customHeight="1">
      <x:c r="A849" s="136" t="str">
        <x:v>SCR-0844</x:v>
      </x:c>
      <x:c r="B849" s="143" t="n">
        <x:v>0.0000010256410256410257</x:v>
      </x:c>
      <x:c r="C849" s="143" t="n">
        <x:v>0.00976923076923077</x:v>
      </x:c>
      <x:c r="D849" s="161" t="n">
        <x:v>1</x:v>
      </x:c>
      <x:c r="E849" s="163" t="n">
        <x:v>-2676.644318370866</x:v>
      </x:c>
      <x:c r="F849" s="163" t="n">
        <x:v>0</x:v>
      </x:c>
      <x:c r="G849" s="145" t="n">
        <x:v>0.025811033825157034</x:v>
      </x:c>
      <x:c r="H849" s="145" t="n">
        <x:v>0.5</x:v>
      </x:c>
      <x:c r="I849" s="136" t="str">
        <x:v>NONPOSITIVE-MODEL-MARGIN</x:v>
      </x:c>
      <x:c r="J849" s="136" t="str">
        <x:v>V0.7-CONTROLLED-RESEARCH-SCREEN-NOT-DISTRIBUTION</x:v>
      </x:c>
    </x:row>
    <x:row r="850" ht="22" customHeight="1">
      <x:c r="A850" s="137" t="str">
        <x:v>SCR-0845</x:v>
      </x:c>
      <x:c r="B850" s="142" t="n">
        <x:v>0.0000010256410256410257</x:v>
      </x:c>
      <x:c r="C850" s="142" t="n">
        <x:v>0.010076923076923077</x:v>
      </x:c>
      <x:c r="D850" s="160" t="n">
        <x:v>1</x:v>
      </x:c>
      <x:c r="E850" s="162" t="n">
        <x:v>-2694.8340806289784</x:v>
      </x:c>
      <x:c r="F850" s="162" t="n">
        <x:v>0</x:v>
      </x:c>
      <x:c r="G850" s="144" t="n">
        <x:v>0.02610865846520544</x:v>
      </x:c>
      <x:c r="H850" s="144" t="n">
        <x:v>0.5</x:v>
      </x:c>
      <x:c r="I850" s="137" t="str">
        <x:v>NONPOSITIVE-MODEL-MARGIN</x:v>
      </x:c>
      <x:c r="J850" s="137" t="str">
        <x:v>V0.7-CONTROLLED-RESEARCH-SCREEN-NOT-DISTRIBUTION</x:v>
      </x:c>
    </x:row>
    <x:row r="851" ht="22" customHeight="1">
      <x:c r="A851" s="136" t="str">
        <x:v>SCR-0846</x:v>
      </x:c>
      <x:c r="B851" s="143" t="n">
        <x:v>0.0000010256410256410257</x:v>
      </x:c>
      <x:c r="C851" s="143" t="n">
        <x:v>0.010384615384615384</x:v>
      </x:c>
      <x:c r="D851" s="161" t="n">
        <x:v>1</x:v>
      </x:c>
      <x:c r="E851" s="163" t="n">
        <x:v>-2712.9705602235044</x:v>
      </x:c>
      <x:c r="F851" s="163" t="n">
        <x:v>0</x:v>
      </x:c>
      <x:c r="G851" s="145" t="n">
        <x:v>0.02640628310525385</x:v>
      </x:c>
      <x:c r="H851" s="145" t="n">
        <x:v>0.5</x:v>
      </x:c>
      <x:c r="I851" s="136" t="str">
        <x:v>NONPOSITIVE-MODEL-MARGIN</x:v>
      </x:c>
      <x:c r="J851" s="136" t="str">
        <x:v>V0.7-CONTROLLED-RESEARCH-SCREEN-NOT-DISTRIBUTION</x:v>
      </x:c>
    </x:row>
    <x:row r="852" ht="22" customHeight="1">
      <x:c r="A852" s="137" t="str">
        <x:v>SCR-0847</x:v>
      </x:c>
      <x:c r="B852" s="142" t="n">
        <x:v>0.0000010256410256410257</x:v>
      </x:c>
      <x:c r="C852" s="142" t="n">
        <x:v>0.010692307692307692</x:v>
      </x:c>
      <x:c r="D852" s="160" t="n">
        <x:v>1</x:v>
      </x:c>
      <x:c r="E852" s="162" t="n">
        <x:v>-2731.0542122811353</x:v>
      </x:c>
      <x:c r="F852" s="162" t="n">
        <x:v>0</x:v>
      </x:c>
      <x:c r="G852" s="144" t="n">
        <x:v>0.026703907745302263</x:v>
      </x:c>
      <x:c r="H852" s="144" t="n">
        <x:v>0.5</x:v>
      </x:c>
      <x:c r="I852" s="137" t="str">
        <x:v>NONPOSITIVE-MODEL-MARGIN</x:v>
      </x:c>
      <x:c r="J852" s="137" t="str">
        <x:v>V0.7-CONTROLLED-RESEARCH-SCREEN-NOT-DISTRIBUTION</x:v>
      </x:c>
    </x:row>
    <x:row r="853" ht="22" customHeight="1">
      <x:c r="A853" s="136" t="str">
        <x:v>SCR-0848</x:v>
      </x:c>
      <x:c r="B853" s="143" t="n">
        <x:v>0.0000010256410256410257</x:v>
      </x:c>
      <x:c r="C853" s="143" t="n">
        <x:v>0.011</x:v>
      </x:c>
      <x:c r="D853" s="161" t="n">
        <x:v>1</x:v>
      </x:c>
      <x:c r="E853" s="163" t="n">
        <x:v>-2749.085484490969</x:v>
      </x:c>
      <x:c r="F853" s="163" t="n">
        <x:v>0</x:v>
      </x:c>
      <x:c r="G853" s="145" t="n">
        <x:v>0.027001532385350673</x:v>
      </x:c>
      <x:c r="H853" s="145" t="n">
        <x:v>0.5</x:v>
      </x:c>
      <x:c r="I853" s="136" t="str">
        <x:v>NONPOSITIVE-MODEL-MARGIN</x:v>
      </x:c>
      <x:c r="J853" s="136" t="str">
        <x:v>V0.7-CONTROLLED-RESEARCH-SCREEN-NOT-DISTRIBUTION</x:v>
      </x:c>
    </x:row>
    <x:row r="854" ht="22" customHeight="1">
      <x:c r="A854" s="137" t="str">
        <x:v>SCR-0849</x:v>
      </x:c>
      <x:c r="B854" s="142" t="n">
        <x:v>0.0000010256410256410257</x:v>
      </x:c>
      <x:c r="C854" s="142" t="n">
        <x:v>0.011307692307692307</x:v>
      </x:c>
      <x:c r="D854" s="160" t="n">
        <x:v>1</x:v>
      </x:c>
      <x:c r="E854" s="162" t="n">
        <x:v>-2767.0648172613596</x:v>
      </x:c>
      <x:c r="F854" s="162" t="n">
        <x:v>0</x:v>
      </x:c>
      <x:c r="G854" s="144" t="n">
        <x:v>0.02729915702539909</x:v>
      </x:c>
      <x:c r="H854" s="144" t="n">
        <x:v>0.5</x:v>
      </x:c>
      <x:c r="I854" s="137" t="str">
        <x:v>NONPOSITIVE-MODEL-MARGIN</x:v>
      </x:c>
      <x:c r="J854" s="137" t="str">
        <x:v>V0.7-CONTROLLED-RESEARCH-SCREEN-NOT-DISTRIBUTION</x:v>
      </x:c>
    </x:row>
    <x:row r="855" ht="22" customHeight="1">
      <x:c r="A855" s="136" t="str">
        <x:v>SCR-0850</x:v>
      </x:c>
      <x:c r="B855" s="143" t="n">
        <x:v>0.0000010256410256410257</x:v>
      </x:c>
      <x:c r="C855" s="143" t="n">
        <x:v>0.011615384615384614</x:v>
      </x:c>
      <x:c r="D855" s="161" t="n">
        <x:v>1</x:v>
      </x:c>
      <x:c r="E855" s="163" t="n">
        <x:v>-2784.9926438738507</x:v>
      </x:c>
      <x:c r="F855" s="163" t="n">
        <x:v>0</x:v>
      </x:c>
      <x:c r="G855" s="145" t="n">
        <x:v>0.027596781665447497</x:v>
      </x:c>
      <x:c r="H855" s="145" t="n">
        <x:v>0.5</x:v>
      </x:c>
      <x:c r="I855" s="136" t="str">
        <x:v>NONPOSITIVE-MODEL-MARGIN</x:v>
      </x:c>
      <x:c r="J855" s="136" t="str">
        <x:v>V0.7-CONTROLLED-RESEARCH-SCREEN-NOT-DISTRIBUTION</x:v>
      </x:c>
    </x:row>
    <x:row r="856" ht="22" customHeight="1">
      <x:c r="A856" s="137" t="str">
        <x:v>SCR-0851</x:v>
      </x:c>
      <x:c r="B856" s="142" t="n">
        <x:v>0.0000010256410256410257</x:v>
      </x:c>
      <x:c r="C856" s="142" t="n">
        <x:v>0.011923076923076925</x:v>
      </x:c>
      <x:c r="D856" s="160" t="n">
        <x:v>1</x:v>
      </x:c>
      <x:c r="E856" s="162" t="n">
        <x:v>-2802.86939063398</x:v>
      </x:c>
      <x:c r="F856" s="162" t="n">
        <x:v>0</x:v>
      </x:c>
      <x:c r="G856" s="144" t="n">
        <x:v>0.02789440630549591</x:v>
      </x:c>
      <x:c r="H856" s="144" t="n">
        <x:v>0.5</x:v>
      </x:c>
      <x:c r="I856" s="137" t="str">
        <x:v>NONPOSITIVE-MODEL-MARGIN</x:v>
      </x:c>
      <x:c r="J856" s="137" t="str">
        <x:v>V0.7-CONTROLLED-RESEARCH-SCREEN-NOT-DISTRIBUTION</x:v>
      </x:c>
    </x:row>
    <x:row r="857" ht="22" customHeight="1">
      <x:c r="A857" s="136" t="str">
        <x:v>SCR-0852</x:v>
      </x:c>
      <x:c r="B857" s="143" t="n">
        <x:v>0.0000010256410256410257</x:v>
      </x:c>
      <x:c r="C857" s="143" t="n">
        <x:v>0.012230769230769233</x:v>
      </x:c>
      <x:c r="D857" s="161" t="n">
        <x:v>1</x:v>
      </x:c>
      <x:c r="E857" s="163" t="n">
        <x:v>-2820.695477019082</x:v>
      </x:c>
      <x:c r="F857" s="163" t="n">
        <x:v>0</x:v>
      </x:c>
      <x:c r="G857" s="145" t="n">
        <x:v>0.028192030945544323</x:v>
      </x:c>
      <x:c r="H857" s="145" t="n">
        <x:v>0.5</x:v>
      </x:c>
      <x:c r="I857" s="136" t="str">
        <x:v>NONPOSITIVE-MODEL-MARGIN</x:v>
      </x:c>
      <x:c r="J857" s="136" t="str">
        <x:v>V0.7-CONTROLLED-RESEARCH-SCREEN-NOT-DISTRIBUTION</x:v>
      </x:c>
    </x:row>
    <x:row r="858" ht="22" customHeight="1">
      <x:c r="A858" s="137" t="str">
        <x:v>SCR-0853</x:v>
      </x:c>
      <x:c r="B858" s="142" t="n">
        <x:v>0.0000010256410256410257</x:v>
      </x:c>
      <x:c r="C858" s="142" t="n">
        <x:v>0.01253846153846154</x:v>
      </x:c>
      <x:c r="D858" s="160" t="n">
        <x:v>1</x:v>
      </x:c>
      <x:c r="E858" s="162" t="n">
        <x:v>-2842.0006266801456</x:v>
      </x:c>
      <x:c r="F858" s="162" t="n">
        <x:v>0</x:v>
      </x:c>
      <x:c r="G858" s="144" t="n">
        <x:v>0.028489655585592733</x:v>
      </x:c>
      <x:c r="H858" s="144" t="n">
        <x:v>0.5</x:v>
      </x:c>
      <x:c r="I858" s="137" t="str">
        <x:v>NONPOSITIVE-MODEL-MARGIN</x:v>
      </x:c>
      <x:c r="J858" s="137" t="str">
        <x:v>V0.7-CONTROLLED-RESEARCH-SCREEN-NOT-DISTRIBUTION</x:v>
      </x:c>
    </x:row>
    <x:row r="859" ht="22" customHeight="1">
      <x:c r="A859" s="136" t="str">
        <x:v>SCR-0854</x:v>
      </x:c>
      <x:c r="B859" s="143" t="n">
        <x:v>0.0000010256410256410257</x:v>
      </x:c>
      <x:c r="C859" s="143" t="n">
        <x:v>0.012846153846153847</x:v>
      </x:c>
      <x:c r="D859" s="161" t="n">
        <x:v>1</x:v>
      </x:c>
      <x:c r="E859" s="163" t="n">
        <x:v>-2859.71592518402</x:v>
      </x:c>
      <x:c r="F859" s="163" t="n">
        <x:v>0</x:v>
      </x:c>
      <x:c r="G859" s="145" t="n">
        <x:v>0.02878728022564115</x:v>
      </x:c>
      <x:c r="H859" s="145" t="n">
        <x:v>0.5</x:v>
      </x:c>
      <x:c r="I859" s="136" t="str">
        <x:v>NONPOSITIVE-MODEL-MARGIN</x:v>
      </x:c>
      <x:c r="J859" s="136" t="str">
        <x:v>V0.7-CONTROLLED-RESEARCH-SCREEN-NOT-DISTRIBUTION</x:v>
      </x:c>
    </x:row>
    <x:row r="860" ht="22" customHeight="1">
      <x:c r="A860" s="137" t="str">
        <x:v>SCR-0855</x:v>
      </x:c>
      <x:c r="B860" s="142" t="n">
        <x:v>0.0000010256410256410257</x:v>
      </x:c>
      <x:c r="C860" s="142" t="n">
        <x:v>0.013153846153846155</x:v>
      </x:c>
      <x:c r="D860" s="160" t="n">
        <x:v>1</x:v>
      </x:c>
      <x:c r="E860" s="162" t="n">
        <x:v>-2877.381889008768</x:v>
      </x:c>
      <x:c r="F860" s="162" t="n">
        <x:v>0</x:v>
      </x:c>
      <x:c r="G860" s="144" t="n">
        <x:v>0.029084904865689553</x:v>
      </x:c>
      <x:c r="H860" s="144" t="n">
        <x:v>0.5</x:v>
      </x:c>
      <x:c r="I860" s="137" t="str">
        <x:v>NONPOSITIVE-MODEL-MARGIN</x:v>
      </x:c>
      <x:c r="J860" s="137" t="str">
        <x:v>V0.7-CONTROLLED-RESEARCH-SCREEN-NOT-DISTRIBUTION</x:v>
      </x:c>
    </x:row>
    <x:row r="861" ht="22" customHeight="1">
      <x:c r="A861" s="136" t="str">
        <x:v>SCR-0856</x:v>
      </x:c>
      <x:c r="B861" s="143" t="n">
        <x:v>0.0000010256410256410257</x:v>
      </x:c>
      <x:c r="C861" s="143" t="n">
        <x:v>0.013461538461538462</x:v>
      </x:c>
      <x:c r="D861" s="161" t="n">
        <x:v>1</x:v>
      </x:c>
      <x:c r="E861" s="163" t="n">
        <x:v>-2894.998909558287</x:v>
      </x:c>
      <x:c r="F861" s="163" t="n">
        <x:v>0</x:v>
      </x:c>
      <x:c r="G861" s="145" t="n">
        <x:v>0.029382529505737963</x:v>
      </x:c>
      <x:c r="H861" s="145" t="n">
        <x:v>0.5</x:v>
      </x:c>
      <x:c r="I861" s="136" t="str">
        <x:v>NONPOSITIVE-MODEL-MARGIN</x:v>
      </x:c>
      <x:c r="J861" s="136" t="str">
        <x:v>V0.7-CONTROLLED-RESEARCH-SCREEN-NOT-DISTRIBUTION</x:v>
      </x:c>
    </x:row>
    <x:row r="862" ht="22" customHeight="1">
      <x:c r="A862" s="137" t="str">
        <x:v>SCR-0857</x:v>
      </x:c>
      <x:c r="B862" s="142" t="n">
        <x:v>0.0000010256410256410257</x:v>
      </x:c>
      <x:c r="C862" s="142" t="n">
        <x:v>0.01376923076923077</x:v>
      </x:c>
      <x:c r="D862" s="160" t="n">
        <x:v>1</x:v>
      </x:c>
      <x:c r="E862" s="162" t="n">
        <x:v>-2912.5673721667767</x:v>
      </x:c>
      <x:c r="F862" s="162" t="n">
        <x:v>0</x:v>
      </x:c>
      <x:c r="G862" s="144" t="n">
        <x:v>0.029680154145786383</x:v>
      </x:c>
      <x:c r="H862" s="144" t="n">
        <x:v>0.5</x:v>
      </x:c>
      <x:c r="I862" s="137" t="str">
        <x:v>NONPOSITIVE-MODEL-MARGIN</x:v>
      </x:c>
      <x:c r="J862" s="137" t="str">
        <x:v>V0.7-CONTROLLED-RESEARCH-SCREEN-NOT-DISTRIBUTION</x:v>
      </x:c>
    </x:row>
    <x:row r="863" ht="22" customHeight="1">
      <x:c r="A863" s="136" t="str">
        <x:v>SCR-0858</x:v>
      </x:c>
      <x:c r="B863" s="143" t="n">
        <x:v>0.0000010256410256410257</x:v>
      </x:c>
      <x:c r="C863" s="143" t="n">
        <x:v>0.014076923076923077</x:v>
      </x:c>
      <x:c r="D863" s="161" t="n">
        <x:v>1</x:v>
      </x:c>
      <x:c r="E863" s="163" t="n">
        <x:v>-2930.0876562255394</x:v>
      </x:c>
      <x:c r="F863" s="163" t="n">
        <x:v>0</x:v>
      </x:c>
      <x:c r="G863" s="145" t="n">
        <x:v>0.02997777878583479</x:v>
      </x:c>
      <x:c r="H863" s="145" t="n">
        <x:v>0.5</x:v>
      </x:c>
      <x:c r="I863" s="136" t="str">
        <x:v>NONPOSITIVE-MODEL-MARGIN</x:v>
      </x:c>
      <x:c r="J863" s="136" t="str">
        <x:v>V0.7-CONTROLLED-RESEARCH-SCREEN-NOT-DISTRIBUTION</x:v>
      </x:c>
    </x:row>
    <x:row r="864" ht="22" customHeight="1">
      <x:c r="A864" s="137" t="str">
        <x:v>SCR-0859</x:v>
      </x:c>
      <x:c r="B864" s="142" t="n">
        <x:v>0.0000010256410256410257</x:v>
      </x:c>
      <x:c r="C864" s="142" t="n">
        <x:v>0.014384615384615385</x:v>
      </x:c>
      <x:c r="D864" s="160" t="n">
        <x:v>1</x:v>
      </x:c>
      <x:c r="E864" s="162" t="n">
        <x:v>-2947.560135306928</x:v>
      </x:c>
      <x:c r="F864" s="162" t="n">
        <x:v>0</x:v>
      </x:c>
      <x:c r="G864" s="144" t="n">
        <x:v>0.0302754034258832</x:v>
      </x:c>
      <x:c r="H864" s="144" t="n">
        <x:v>0.5</x:v>
      </x:c>
      <x:c r="I864" s="137" t="str">
        <x:v>NONPOSITIVE-MODEL-MARGIN</x:v>
      </x:c>
      <x:c r="J864" s="137" t="str">
        <x:v>V0.7-CONTROLLED-RESEARCH-SCREEN-NOT-DISTRIBUTION</x:v>
      </x:c>
    </x:row>
    <x:row r="865" ht="22" customHeight="1">
      <x:c r="A865" s="136" t="str">
        <x:v>SCR-0860</x:v>
      </x:c>
      <x:c r="B865" s="143" t="n">
        <x:v>0.0000010256410256410257</x:v>
      </x:c>
      <x:c r="C865" s="143" t="n">
        <x:v>0.014692307692307692</x:v>
      </x:c>
      <x:c r="D865" s="161" t="n">
        <x:v>1</x:v>
      </x:c>
      <x:c r="E865" s="163" t="n">
        <x:v>-2964.9851772854972</x:v>
      </x:c>
      <x:c r="F865" s="163" t="n">
        <x:v>0</x:v>
      </x:c>
      <x:c r="G865" s="145" t="n">
        <x:v>0.03057302806593161</x:v>
      </x:c>
      <x:c r="H865" s="145" t="n">
        <x:v>0.5</x:v>
      </x:c>
      <x:c r="I865" s="136" t="str">
        <x:v>NONPOSITIVE-MODEL-MARGIN</x:v>
      </x:c>
      <x:c r="J865" s="136" t="str">
        <x:v>V0.7-CONTROLLED-RESEARCH-SCREEN-NOT-DISTRIBUTION</x:v>
      </x:c>
    </x:row>
    <x:row r="866" ht="22" customHeight="1">
      <x:c r="A866" s="137" t="str">
        <x:v>SCR-0861</x:v>
      </x:c>
      <x:c r="B866" s="142" t="n">
        <x:v>0.0000010256410256410257</x:v>
      </x:c>
      <x:c r="C866" s="142" t="n">
        <x:v>0.015</x:v>
      </x:c>
      <x:c r="D866" s="160" t="n">
        <x:v>1</x:v>
      </x:c>
      <x:c r="E866" s="162" t="n">
        <x:v>-2982.3631444563666</x:v>
      </x:c>
      <x:c r="F866" s="162" t="n">
        <x:v>0</x:v>
      </x:c>
      <x:c r="G866" s="144" t="n">
        <x:v>0.030870652705980023</x:v>
      </x:c>
      <x:c r="H866" s="144" t="n">
        <x:v>0.5</x:v>
      </x:c>
      <x:c r="I866" s="137" t="str">
        <x:v>NONPOSITIVE-MODEL-MARGIN</x:v>
      </x:c>
      <x:c r="J866" s="137" t="str">
        <x:v>V0.7-CONTROLLED-RESEARCH-SCREEN-NOT-DISTRIBUTION</x:v>
      </x:c>
    </x:row>
    <x:row r="867" ht="22" customHeight="1">
      <x:c r="A867" s="136" t="str">
        <x:v>SCR-0862</x:v>
      </x:c>
      <x:c r="B867" s="143" t="n">
        <x:v>0.0000010743589743589741</x:v>
      </x:c>
      <x:c r="C867" s="143" t="n">
        <x:v>0.003</x:v>
      </x:c>
      <x:c r="D867" s="161" t="n">
        <x:v>1</x:v>
      </x:c>
      <x:c r="E867" s="163" t="n">
        <x:v>-2299.519023849328</x:v>
      </x:c>
      <x:c r="F867" s="163" t="n">
        <x:v>0</x:v>
      </x:c>
      <x:c r="G867" s="145" t="n">
        <x:v>0.019987318934181413</x:v>
      </x:c>
      <x:c r="H867" s="145" t="n">
        <x:v>0.5</x:v>
      </x:c>
      <x:c r="I867" s="136" t="str">
        <x:v>NONPOSITIVE-MODEL-MARGIN</x:v>
      </x:c>
      <x:c r="J867" s="136" t="str">
        <x:v>V0.7-CONTROLLED-RESEARCH-SCREEN-NOT-DISTRIBUTION</x:v>
      </x:c>
    </x:row>
    <x:row r="868" ht="22" customHeight="1">
      <x:c r="A868" s="137" t="str">
        <x:v>SCR-0863</x:v>
      </x:c>
      <x:c r="B868" s="142" t="n">
        <x:v>0.0000010743589743589741</x:v>
      </x:c>
      <x:c r="C868" s="142" t="n">
        <x:v>0.003307692307692308</x:v>
      </x:c>
      <x:c r="D868" s="160" t="n">
        <x:v>1</x:v>
      </x:c>
      <x:c r="E868" s="162" t="n">
        <x:v>-2322.7825003689154</x:v>
      </x:c>
      <x:c r="F868" s="162" t="n">
        <x:v>0</x:v>
      </x:c>
      <x:c r="G868" s="144" t="n">
        <x:v>0.020284495357773803</x:v>
      </x:c>
      <x:c r="H868" s="144" t="n">
        <x:v>0.5</x:v>
      </x:c>
      <x:c r="I868" s="137" t="str">
        <x:v>NONPOSITIVE-MODEL-MARGIN</x:v>
      </x:c>
      <x:c r="J868" s="137" t="str">
        <x:v>V0.7-CONTROLLED-RESEARCH-SCREEN-NOT-DISTRIBUTION</x:v>
      </x:c>
    </x:row>
    <x:row r="869" ht="22" customHeight="1">
      <x:c r="A869" s="136" t="str">
        <x:v>SCR-0864</x:v>
      </x:c>
      <x:c r="B869" s="143" t="n">
        <x:v>0.0000010743589743589741</x:v>
      </x:c>
      <x:c r="C869" s="143" t="n">
        <x:v>0.0036153846153846154</x:v>
      </x:c>
      <x:c r="D869" s="161" t="n">
        <x:v>1</x:v>
      </x:c>
      <x:c r="E869" s="163" t="n">
        <x:v>-2342.0891775476216</x:v>
      </x:c>
      <x:c r="F869" s="163" t="n">
        <x:v>0</x:v>
      </x:c>
      <x:c r="G869" s="145" t="n">
        <x:v>0.0205816717813662</x:v>
      </x:c>
      <x:c r="H869" s="145" t="n">
        <x:v>0.5</x:v>
      </x:c>
      <x:c r="I869" s="136" t="str">
        <x:v>NONPOSITIVE-MODEL-MARGIN</x:v>
      </x:c>
      <x:c r="J869" s="136" t="str">
        <x:v>V0.7-CONTROLLED-RESEARCH-SCREEN-NOT-DISTRIBUTION</x:v>
      </x:c>
    </x:row>
    <x:row r="870" ht="22" customHeight="1">
      <x:c r="A870" s="137" t="str">
        <x:v>SCR-0865</x:v>
      </x:c>
      <x:c r="B870" s="142" t="n">
        <x:v>0.0000010743589743589741</x:v>
      </x:c>
      <x:c r="C870" s="142" t="n">
        <x:v>0.003923076923076923</x:v>
      </x:c>
      <x:c r="D870" s="160" t="n">
        <x:v>1</x:v>
      </x:c>
      <x:c r="E870" s="162" t="n">
        <x:v>-2361.332170284282</x:v>
      </x:c>
      <x:c r="F870" s="162" t="n">
        <x:v>0</x:v>
      </x:c>
      <x:c r="G870" s="144" t="n">
        <x:v>0.020878848204958587</x:v>
      </x:c>
      <x:c r="H870" s="144" t="n">
        <x:v>0.5</x:v>
      </x:c>
      <x:c r="I870" s="137" t="str">
        <x:v>NONPOSITIVE-MODEL-MARGIN</x:v>
      </x:c>
      <x:c r="J870" s="137" t="str">
        <x:v>V0.7-CONTROLLED-RESEARCH-SCREEN-NOT-DISTRIBUTION</x:v>
      </x:c>
    </x:row>
    <x:row r="871" ht="22" customHeight="1">
      <x:c r="A871" s="136" t="str">
        <x:v>SCR-0866</x:v>
      </x:c>
      <x:c r="B871" s="143" t="n">
        <x:v>0.0000010743589743589741</x:v>
      </x:c>
      <x:c r="C871" s="143" t="n">
        <x:v>0.004230769230769231</x:v>
      </x:c>
      <x:c r="D871" s="161" t="n">
        <x:v>1</x:v>
      </x:c>
      <x:c r="E871" s="163" t="n">
        <x:v>-2380.5121146604743</x:v>
      </x:c>
      <x:c r="F871" s="163" t="n">
        <x:v>0</x:v>
      </x:c>
      <x:c r="G871" s="145" t="n">
        <x:v>0.021176024628550984</x:v>
      </x:c>
      <x:c r="H871" s="145" t="n">
        <x:v>0.5</x:v>
      </x:c>
      <x:c r="I871" s="136" t="str">
        <x:v>NONPOSITIVE-MODEL-MARGIN</x:v>
      </x:c>
      <x:c r="J871" s="136" t="str">
        <x:v>V0.7-CONTROLLED-RESEARCH-SCREEN-NOT-DISTRIBUTION</x:v>
      </x:c>
    </x:row>
    <x:row r="872" ht="22" customHeight="1">
      <x:c r="A872" s="137" t="str">
        <x:v>SCR-0867</x:v>
      </x:c>
      <x:c r="B872" s="142" t="n">
        <x:v>0.0000010743589743589741</x:v>
      </x:c>
      <x:c r="C872" s="142" t="n">
        <x:v>0.004538461538461538</x:v>
      </x:c>
      <x:c r="D872" s="160" t="n">
        <x:v>1</x:v>
      </x:c>
      <x:c r="E872" s="162" t="n">
        <x:v>-2399.6296356138746</x:v>
      </x:c>
      <x:c r="F872" s="162" t="n">
        <x:v>0</x:v>
      </x:c>
      <x:c r="G872" s="144" t="n">
        <x:v>0.021473201052143377</x:v>
      </x:c>
      <x:c r="H872" s="144" t="n">
        <x:v>0.5</x:v>
      </x:c>
      <x:c r="I872" s="137" t="str">
        <x:v>NONPOSITIVE-MODEL-MARGIN</x:v>
      </x:c>
      <x:c r="J872" s="137" t="str">
        <x:v>V0.7-CONTROLLED-RESEARCH-SCREEN-NOT-DISTRIBUTION</x:v>
      </x:c>
    </x:row>
    <x:row r="873" ht="22" customHeight="1">
      <x:c r="A873" s="136" t="str">
        <x:v>SCR-0868</x:v>
      </x:c>
      <x:c r="B873" s="143" t="n">
        <x:v>0.0000010743589743589741</x:v>
      </x:c>
      <x:c r="C873" s="143" t="n">
        <x:v>0.004846153846153846</x:v>
      </x:c>
      <x:c r="D873" s="161" t="n">
        <x:v>1</x:v>
      </x:c>
      <x:c r="E873" s="163" t="n">
        <x:v>-2418.6853471253526</x:v>
      </x:c>
      <x:c r="F873" s="163" t="n">
        <x:v>0</x:v>
      </x:c>
      <x:c r="G873" s="145" t="n">
        <x:v>0.021770377475735764</x:v>
      </x:c>
      <x:c r="H873" s="145" t="n">
        <x:v>0.5</x:v>
      </x:c>
      <x:c r="I873" s="136" t="str">
        <x:v>NONPOSITIVE-MODEL-MARGIN</x:v>
      </x:c>
      <x:c r="J873" s="136" t="str">
        <x:v>V0.7-CONTROLLED-RESEARCH-SCREEN-NOT-DISTRIBUTION</x:v>
      </x:c>
    </x:row>
    <x:row r="874" ht="22" customHeight="1">
      <x:c r="A874" s="137" t="str">
        <x:v>SCR-0869</x:v>
      </x:c>
      <x:c r="B874" s="142" t="n">
        <x:v>0.0000010743589743589741</x:v>
      </x:c>
      <x:c r="C874" s="142" t="n">
        <x:v>0.005</x:v>
      </x:c>
      <x:c r="D874" s="160" t="n">
        <x:v>1</x:v>
      </x:c>
      <x:c r="E874" s="162" t="n">
        <x:v>-2428.1902132605333</x:v>
      </x:c>
      <x:c r="F874" s="162" t="n">
        <x:v>0</x:v>
      </x:c>
      <x:c r="G874" s="144" t="n">
        <x:v>0.021918965687531967</x:v>
      </x:c>
      <x:c r="H874" s="144" t="n">
        <x:v>0.5</x:v>
      </x:c>
      <x:c r="I874" s="137" t="str">
        <x:v>NONPOSITIVE-MODEL-MARGIN</x:v>
      </x:c>
      <x:c r="J874" s="137" t="str">
        <x:v>V0.7-CONTROLLED-RESEARCH-SCREEN-NOT-DISTRIBUTION</x:v>
      </x:c>
    </x:row>
    <x:row r="875" ht="22" customHeight="1">
      <x:c r="A875" s="136" t="str">
        <x:v>SCR-0870</x:v>
      </x:c>
      <x:c r="B875" s="143" t="n">
        <x:v>0.0000010743589743589741</x:v>
      </x:c>
      <x:c r="C875" s="143" t="n">
        <x:v>0.005153846153846154</x:v>
      </x:c>
      <x:c r="D875" s="161" t="n">
        <x:v>1</x:v>
      </x:c>
      <x:c r="E875" s="163" t="n">
        <x:v>-2441.4711846245496</x:v>
      </x:c>
      <x:c r="F875" s="163" t="n">
        <x:v>0</x:v>
      </x:c>
      <x:c r="G875" s="145" t="n">
        <x:v>0.02206755389932816</x:v>
      </x:c>
      <x:c r="H875" s="145" t="n">
        <x:v>0.5</x:v>
      </x:c>
      <x:c r="I875" s="136" t="str">
        <x:v>NONPOSITIVE-MODEL-MARGIN</x:v>
      </x:c>
      <x:c r="J875" s="136" t="str">
        <x:v>V0.7-CONTROLLED-RESEARCH-SCREEN-NOT-DISTRIBUTION</x:v>
      </x:c>
    </x:row>
    <x:row r="876" ht="22" customHeight="1">
      <x:c r="A876" s="137" t="str">
        <x:v>SCR-0871</x:v>
      </x:c>
      <x:c r="B876" s="142" t="n">
        <x:v>0.0000010743589743589741</x:v>
      </x:c>
      <x:c r="C876" s="142" t="n">
        <x:v>0.005461538461538462</x:v>
      </x:c>
      <x:c r="D876" s="160" t="n">
        <x:v>1</x:v>
      </x:c>
      <x:c r="E876" s="162" t="n">
        <x:v>-2460.391395602966</x:v>
      </x:c>
      <x:c r="F876" s="162" t="n">
        <x:v>0</x:v>
      </x:c>
      <x:c r="G876" s="144" t="n">
        <x:v>0.022364730322920554</x:v>
      </x:c>
      <x:c r="H876" s="144" t="n">
        <x:v>0.5</x:v>
      </x:c>
      <x:c r="I876" s="137" t="str">
        <x:v>NONPOSITIVE-MODEL-MARGIN</x:v>
      </x:c>
      <x:c r="J876" s="137" t="str">
        <x:v>V0.7-CONTROLLED-RESEARCH-SCREEN-NOT-DISTRIBUTION</x:v>
      </x:c>
    </x:row>
    <x:row r="877" ht="22" customHeight="1">
      <x:c r="A877" s="136" t="str">
        <x:v>SCR-0872</x:v>
      </x:c>
      <x:c r="B877" s="143" t="n">
        <x:v>0.0000010743589743589741</x:v>
      </x:c>
      <x:c r="C877" s="143" t="n">
        <x:v>0.0057692307692307696</x:v>
      </x:c>
      <x:c r="D877" s="161" t="n">
        <x:v>1</x:v>
      </x:c>
      <x:c r="E877" s="163" t="n">
        <x:v>-2479.2517517615765</x:v>
      </x:c>
      <x:c r="F877" s="163" t="n">
        <x:v>0</x:v>
      </x:c>
      <x:c r="G877" s="145" t="n">
        <x:v>0.022661906746512948</x:v>
      </x:c>
      <x:c r="H877" s="145" t="n">
        <x:v>0.5</x:v>
      </x:c>
      <x:c r="I877" s="136" t="str">
        <x:v>NONPOSITIVE-MODEL-MARGIN</x:v>
      </x:c>
      <x:c r="J877" s="136" t="str">
        <x:v>V0.7-CONTROLLED-RESEARCH-SCREEN-NOT-DISTRIBUTION</x:v>
      </x:c>
    </x:row>
    <x:row r="878" ht="22" customHeight="1">
      <x:c r="A878" s="137" t="str">
        <x:v>SCR-0873</x:v>
      </x:c>
      <x:c r="B878" s="142" t="n">
        <x:v>0.0000010743589743589741</x:v>
      </x:c>
      <x:c r="C878" s="142" t="n">
        <x:v>0.006076923076923077</x:v>
      </x:c>
      <x:c r="D878" s="160" t="n">
        <x:v>1</x:v>
      </x:c>
      <x:c r="E878" s="162" t="n">
        <x:v>-2498.052820598532</x:v>
      </x:c>
      <x:c r="F878" s="162" t="n">
        <x:v>0</x:v>
      </x:c>
      <x:c r="G878" s="144" t="n">
        <x:v>0.022959083170105334</x:v>
      </x:c>
      <x:c r="H878" s="144" t="n">
        <x:v>0.5</x:v>
      </x:c>
      <x:c r="I878" s="137" t="str">
        <x:v>NONPOSITIVE-MODEL-MARGIN</x:v>
      </x:c>
      <x:c r="J878" s="137" t="str">
        <x:v>V0.7-CONTROLLED-RESEARCH-SCREEN-NOT-DISTRIBUTION</x:v>
      </x:c>
    </x:row>
    <x:row r="879" ht="22" customHeight="1">
      <x:c r="A879" s="136" t="str">
        <x:v>SCR-0874</x:v>
      </x:c>
      <x:c r="B879" s="143" t="n">
        <x:v>0.0000010743589743589741</x:v>
      </x:c>
      <x:c r="C879" s="143" t="n">
        <x:v>0.006384615384615384</x:v>
      </x:c>
      <x:c r="D879" s="161" t="n">
        <x:v>1</x:v>
      </x:c>
      <x:c r="E879" s="163" t="n">
        <x:v>-2516.7951598144473</x:v>
      </x:c>
      <x:c r="F879" s="163" t="n">
        <x:v>0</x:v>
      </x:c>
      <x:c r="G879" s="145" t="n">
        <x:v>0.02325625959369773</x:v>
      </x:c>
      <x:c r="H879" s="145" t="n">
        <x:v>0.5</x:v>
      </x:c>
      <x:c r="I879" s="136" t="str">
        <x:v>NONPOSITIVE-MODEL-MARGIN</x:v>
      </x:c>
      <x:c r="J879" s="136" t="str">
        <x:v>V0.7-CONTROLLED-RESEARCH-SCREEN-NOT-DISTRIBUTION</x:v>
      </x:c>
    </x:row>
    <x:row r="880" ht="22" customHeight="1">
      <x:c r="A880" s="137" t="str">
        <x:v>SCR-0875</x:v>
      </x:c>
      <x:c r="B880" s="142" t="n">
        <x:v>0.0000010743589743589741</x:v>
      </x:c>
      <x:c r="C880" s="142" t="n">
        <x:v>0.006692307692307693</x:v>
      </x:c>
      <x:c r="D880" s="160" t="n">
        <x:v>1</x:v>
      </x:c>
      <x:c r="E880" s="162" t="n">
        <x:v>-2535.4793175021528</x:v>
      </x:c>
      <x:c r="F880" s="162" t="n">
        <x:v>0</x:v>
      </x:c>
      <x:c r="G880" s="144" t="n">
        <x:v>0.02355343601729012</x:v>
      </x:c>
      <x:c r="H880" s="144" t="n">
        <x:v>0.5</x:v>
      </x:c>
      <x:c r="I880" s="137" t="str">
        <x:v>NONPOSITIVE-MODEL-MARGIN</x:v>
      </x:c>
      <x:c r="J880" s="137" t="str">
        <x:v>V0.7-CONTROLLED-RESEARCH-SCREEN-NOT-DISTRIBUTION</x:v>
      </x:c>
    </x:row>
    <x:row r="881" ht="22" customHeight="1">
      <x:c r="A881" s="136" t="str">
        <x:v>SCR-0876</x:v>
      </x:c>
      <x:c r="B881" s="143" t="n">
        <x:v>0.0000010743589743589741</x:v>
      </x:c>
      <x:c r="C881" s="143" t="n">
        <x:v>0.007</x:v>
      </x:c>
      <x:c r="D881" s="161" t="n">
        <x:v>1</x:v>
      </x:c>
      <x:c r="E881" s="163" t="n">
        <x:v>-2554.1058323360307</x:v>
      </x:c>
      <x:c r="F881" s="163" t="n">
        <x:v>0</x:v>
      </x:c>
      <x:c r="G881" s="145" t="n">
        <x:v>0.023850612440882508</x:v>
      </x:c>
      <x:c r="H881" s="145" t="n">
        <x:v>0.5</x:v>
      </x:c>
      <x:c r="I881" s="136" t="str">
        <x:v>NONPOSITIVE-MODEL-MARGIN</x:v>
      </x:c>
      <x:c r="J881" s="136" t="str">
        <x:v>V0.7-CONTROLLED-RESEARCH-SCREEN-NOT-DISTRIBUTION</x:v>
      </x:c>
    </x:row>
    <x:row r="882" ht="22" customHeight="1">
      <x:c r="A882" s="137" t="str">
        <x:v>SCR-0877</x:v>
      </x:c>
      <x:c r="B882" s="142" t="n">
        <x:v>0.0000010743589743589741</x:v>
      </x:c>
      <x:c r="C882" s="142" t="n">
        <x:v>0.007307692307692308</x:v>
      </x:c>
      <x:c r="D882" s="160" t="n">
        <x:v>1</x:v>
      </x:c>
      <x:c r="E882" s="162" t="n">
        <x:v>-2572.6752337605967</x:v>
      </x:c>
      <x:c r="F882" s="162" t="n">
        <x:v>0</x:v>
      </x:c>
      <x:c r="G882" s="144" t="n">
        <x:v>0.024147788864474905</x:v>
      </x:c>
      <x:c r="H882" s="144" t="n">
        <x:v>0.5</x:v>
      </x:c>
      <x:c r="I882" s="137" t="str">
        <x:v>NONPOSITIVE-MODEL-MARGIN</x:v>
      </x:c>
      <x:c r="J882" s="137" t="str">
        <x:v>V0.7-CONTROLLED-RESEARCH-SCREEN-NOT-DISTRIBUTION</x:v>
      </x:c>
    </x:row>
    <x:row r="883" ht="22" customHeight="1">
      <x:c r="A883" s="136" t="str">
        <x:v>SCR-0878</x:v>
      </x:c>
      <x:c r="B883" s="143" t="n">
        <x:v>0.0000010743589743589741</x:v>
      </x:c>
      <x:c r="C883" s="143" t="n">
        <x:v>0.007615384615384616</x:v>
      </x:c>
      <x:c r="D883" s="161" t="n">
        <x:v>1</x:v>
      </x:c>
      <x:c r="E883" s="163" t="n">
        <x:v>-2594.8746244770173</x:v>
      </x:c>
      <x:c r="F883" s="163" t="n">
        <x:v>0</x:v>
      </x:c>
      <x:c r="G883" s="145" t="n">
        <x:v>0.024444965288067298</x:v>
      </x:c>
      <x:c r="H883" s="145" t="n">
        <x:v>0.5</x:v>
      </x:c>
      <x:c r="I883" s="136" t="str">
        <x:v>NONPOSITIVE-MODEL-MARGIN</x:v>
      </x:c>
      <x:c r="J883" s="136" t="str">
        <x:v>V0.7-CONTROLLED-RESEARCH-SCREEN-NOT-DISTRIBUTION</x:v>
      </x:c>
    </x:row>
    <x:row r="884" ht="22" customHeight="1">
      <x:c r="A884" s="137" t="str">
        <x:v>SCR-0879</x:v>
      </x:c>
      <x:c r="B884" s="142" t="n">
        <x:v>0.0000010743589743589741</x:v>
      </x:c>
      <x:c r="C884" s="142" t="n">
        <x:v>0.007923076923076923</x:v>
      </x:c>
      <x:c r="D884" s="160" t="n">
        <x:v>1</x:v>
      </x:c>
      <x:c r="E884" s="162" t="n">
        <x:v>-2613.318963105858</x:v>
      </x:c>
      <x:c r="F884" s="162" t="n">
        <x:v>0</x:v>
      </x:c>
      <x:c r="G884" s="144" t="n">
        <x:v>0.024742141711659688</x:v>
      </x:c>
      <x:c r="H884" s="144" t="n">
        <x:v>0.5</x:v>
      </x:c>
      <x:c r="I884" s="137" t="str">
        <x:v>NONPOSITIVE-MODEL-MARGIN</x:v>
      </x:c>
      <x:c r="J884" s="137" t="str">
        <x:v>V0.7-CONTROLLED-RESEARCH-SCREEN-NOT-DISTRIBUTION</x:v>
      </x:c>
    </x:row>
    <x:row r="885" ht="22" customHeight="1">
      <x:c r="A885" s="136" t="str">
        <x:v>SCR-0880</x:v>
      </x:c>
      <x:c r="B885" s="143" t="n">
        <x:v>0.0000010743589743589741</x:v>
      </x:c>
      <x:c r="C885" s="143" t="n">
        <x:v>0.00823076923076923</x:v>
      </x:c>
      <x:c r="D885" s="161" t="n">
        <x:v>1</x:v>
      </x:c>
      <x:c r="E885" s="163" t="n">
        <x:v>-2631.7078673228425</x:v>
      </x:c>
      <x:c r="F885" s="163" t="n">
        <x:v>0</x:v>
      </x:c>
      <x:c r="G885" s="145" t="n">
        <x:v>0.025039318135252082</x:v>
      </x:c>
      <x:c r="H885" s="145" t="n">
        <x:v>0.5</x:v>
      </x:c>
      <x:c r="I885" s="136" t="str">
        <x:v>NONPOSITIVE-MODEL-MARGIN</x:v>
      </x:c>
      <x:c r="J885" s="136" t="str">
        <x:v>V0.7-CONTROLLED-RESEARCH-SCREEN-NOT-DISTRIBUTION</x:v>
      </x:c>
    </x:row>
    <x:row r="886" ht="22" customHeight="1">
      <x:c r="A886" s="137" t="str">
        <x:v>SCR-0881</x:v>
      </x:c>
      <x:c r="B886" s="142" t="n">
        <x:v>0.0000010743589743589741</x:v>
      </x:c>
      <x:c r="C886" s="142" t="n">
        <x:v>0.00853846153846154</x:v>
      </x:c>
      <x:c r="D886" s="160" t="n">
        <x:v>1</x:v>
      </x:c>
      <x:c r="E886" s="162" t="n">
        <x:v>-2650.041828101493</x:v>
      </x:c>
      <x:c r="F886" s="162" t="n">
        <x:v>0</x:v>
      </x:c>
      <x:c r="G886" s="144" t="n">
        <x:v>0.02533649455884448</x:v>
      </x:c>
      <x:c r="H886" s="144" t="n">
        <x:v>0.5</x:v>
      </x:c>
      <x:c r="I886" s="137" t="str">
        <x:v>NONPOSITIVE-MODEL-MARGIN</x:v>
      </x:c>
      <x:c r="J886" s="137" t="str">
        <x:v>V0.7-CONTROLLED-RESEARCH-SCREEN-NOT-DISTRIBUTION</x:v>
      </x:c>
    </x:row>
    <x:row r="887" ht="22" customHeight="1">
      <x:c r="A887" s="136" t="str">
        <x:v>SCR-0882</x:v>
      </x:c>
      <x:c r="B887" s="143" t="n">
        <x:v>0.0000010743589743589741</x:v>
      </x:c>
      <x:c r="C887" s="143" t="n">
        <x:v>0.008846153846153847</x:v>
      </x:c>
      <x:c r="D887" s="161" t="n">
        <x:v>1</x:v>
      </x:c>
      <x:c r="E887" s="163" t="n">
        <x:v>-2668.3213282201873</x:v>
      </x:c>
      <x:c r="F887" s="163" t="n">
        <x:v>0</x:v>
      </x:c>
      <x:c r="G887" s="145" t="n">
        <x:v>0.02563367098243687</x:v>
      </x:c>
      <x:c r="H887" s="145" t="n">
        <x:v>0.5</x:v>
      </x:c>
      <x:c r="I887" s="136" t="str">
        <x:v>NONPOSITIVE-MODEL-MARGIN</x:v>
      </x:c>
      <x:c r="J887" s="136" t="str">
        <x:v>V0.7-CONTROLLED-RESEARCH-SCREEN-NOT-DISTRIBUTION</x:v>
      </x:c>
    </x:row>
    <x:row r="888" ht="22" customHeight="1">
      <x:c r="A888" s="137" t="str">
        <x:v>SCR-0883</x:v>
      </x:c>
      <x:c r="B888" s="142" t="n">
        <x:v>0.0000010743589743589741</x:v>
      </x:c>
      <x:c r="C888" s="142" t="n">
        <x:v>0.009153846153846155</x:v>
      </x:c>
      <x:c r="D888" s="160" t="n">
        <x:v>1</x:v>
      </x:c>
      <x:c r="E888" s="162" t="n">
        <x:v>-2686.546842432464</x:v>
      </x:c>
      <x:c r="F888" s="162" t="n">
        <x:v>0</x:v>
      </x:c>
      <x:c r="G888" s="144" t="n">
        <x:v>0.025930847406029262</x:v>
      </x:c>
      <x:c r="H888" s="144" t="n">
        <x:v>0.5</x:v>
      </x:c>
      <x:c r="I888" s="137" t="str">
        <x:v>NONPOSITIVE-MODEL-MARGIN</x:v>
      </x:c>
      <x:c r="J888" s="137" t="str">
        <x:v>V0.7-CONTROLLED-RESEARCH-SCREEN-NOT-DISTRIBUTION</x:v>
      </x:c>
    </x:row>
    <x:row r="889" ht="22" customHeight="1">
      <x:c r="A889" s="136" t="str">
        <x:v>SCR-0884</x:v>
      </x:c>
      <x:c r="B889" s="143" t="n">
        <x:v>0.0000010743589743589741</x:v>
      </x:c>
      <x:c r="C889" s="143" t="n">
        <x:v>0.009461538461538462</x:v>
      </x:c>
      <x:c r="D889" s="161" t="n">
        <x:v>1</x:v>
      </x:c>
      <x:c r="E889" s="163" t="n">
        <x:v>-2704.7188376346194</x:v>
      </x:c>
      <x:c r="F889" s="163" t="n">
        <x:v>0</x:v>
      </x:c>
      <x:c r="G889" s="145" t="n">
        <x:v>0.026228023829621652</x:v>
      </x:c>
      <x:c r="H889" s="145" t="n">
        <x:v>0.5</x:v>
      </x:c>
      <x:c r="I889" s="136" t="str">
        <x:v>NONPOSITIVE-MODEL-MARGIN</x:v>
      </x:c>
      <x:c r="J889" s="136" t="str">
        <x:v>V0.7-CONTROLLED-RESEARCH-SCREEN-NOT-DISTRIBUTION</x:v>
      </x:c>
    </x:row>
    <x:row r="890" ht="22" customHeight="1">
      <x:c r="A890" s="137" t="str">
        <x:v>SCR-0885</x:v>
      </x:c>
      <x:c r="B890" s="142" t="n">
        <x:v>0.0000010743589743589741</x:v>
      </x:c>
      <x:c r="C890" s="142" t="n">
        <x:v>0.00976923076923077</x:v>
      </x:c>
      <x:c r="D890" s="160" t="n">
        <x:v>1</x:v>
      </x:c>
      <x:c r="E890" s="162" t="n">
        <x:v>-2722.837773030636</x:v>
      </x:c>
      <x:c r="F890" s="162" t="n">
        <x:v>0</x:v>
      </x:c>
      <x:c r="G890" s="144" t="n">
        <x:v>0.026525200253214042</x:v>
      </x:c>
      <x:c r="H890" s="144" t="n">
        <x:v>0.5</x:v>
      </x:c>
      <x:c r="I890" s="137" t="str">
        <x:v>NONPOSITIVE-MODEL-MARGIN</x:v>
      </x:c>
      <x:c r="J890" s="137" t="str">
        <x:v>V0.7-CONTROLLED-RESEARCH-SCREEN-NOT-DISTRIBUTION</x:v>
      </x:c>
    </x:row>
    <x:row r="891" ht="22" customHeight="1">
      <x:c r="A891" s="136" t="str">
        <x:v>SCR-0886</x:v>
      </x:c>
      <x:c r="B891" s="143" t="n">
        <x:v>0.0000010743589743589741</x:v>
      </x:c>
      <x:c r="C891" s="143" t="n">
        <x:v>0.010076923076923077</x:v>
      </x:c>
      <x:c r="D891" s="161" t="n">
        <x:v>1</x:v>
      </x:c>
      <x:c r="E891" s="163" t="n">
        <x:v>-2740.9041002942354</x:v>
      </x:c>
      <x:c r="F891" s="163" t="n">
        <x:v>0</x:v>
      </x:c>
      <x:c r="G891" s="145" t="n">
        <x:v>0.026822376676806436</x:v>
      </x:c>
      <x:c r="H891" s="145" t="n">
        <x:v>0.5</x:v>
      </x:c>
      <x:c r="I891" s="136" t="str">
        <x:v>NONPOSITIVE-MODEL-MARGIN</x:v>
      </x:c>
      <x:c r="J891" s="136" t="str">
        <x:v>V0.7-CONTROLLED-RESEARCH-SCREEN-NOT-DISTRIBUTION</x:v>
      </x:c>
    </x:row>
    <x:row r="892" ht="22" customHeight="1">
      <x:c r="A892" s="137" t="str">
        <x:v>SCR-0887</x:v>
      </x:c>
      <x:c r="B892" s="142" t="n">
        <x:v>0.0000010743589743589741</x:v>
      </x:c>
      <x:c r="C892" s="142" t="n">
        <x:v>0.010384615384615384</x:v>
      </x:c>
      <x:c r="D892" s="160" t="n">
        <x:v>1</x:v>
      </x:c>
      <x:c r="E892" s="162" t="n">
        <x:v>-2758.9182637279223</x:v>
      </x:c>
      <x:c r="F892" s="162" t="n">
        <x:v>0</x:v>
      </x:c>
      <x:c r="G892" s="144" t="n">
        <x:v>0.027119553100398826</x:v>
      </x:c>
      <x:c r="H892" s="144" t="n">
        <x:v>0.5</x:v>
      </x:c>
      <x:c r="I892" s="137" t="str">
        <x:v>NONPOSITIVE-MODEL-MARGIN</x:v>
      </x:c>
      <x:c r="J892" s="137" t="str">
        <x:v>V0.7-CONTROLLED-RESEARCH-SCREEN-NOT-DISTRIBUTION</x:v>
      </x:c>
    </x:row>
    <x:row r="893" ht="22" customHeight="1">
      <x:c r="A893" s="136" t="str">
        <x:v>SCR-0888</x:v>
      </x:c>
      <x:c r="B893" s="143" t="n">
        <x:v>0.0000010743589743589741</x:v>
      </x:c>
      <x:c r="C893" s="143" t="n">
        <x:v>0.010692307692307692</x:v>
      </x:c>
      <x:c r="D893" s="161" t="n">
        <x:v>1</x:v>
      </x:c>
      <x:c r="E893" s="163" t="n">
        <x:v>-2776.880700419105</x:v>
      </x:c>
      <x:c r="F893" s="163" t="n">
        <x:v>0</x:v>
      </x:c>
      <x:c r="G893" s="145" t="n">
        <x:v>0.02741672952399122</x:v>
      </x:c>
      <x:c r="H893" s="145" t="n">
        <x:v>0.5</x:v>
      </x:c>
      <x:c r="I893" s="136" t="str">
        <x:v>NONPOSITIVE-MODEL-MARGIN</x:v>
      </x:c>
      <x:c r="J893" s="136" t="str">
        <x:v>V0.7-CONTROLLED-RESEARCH-SCREEN-NOT-DISTRIBUTION</x:v>
      </x:c>
    </x:row>
    <x:row r="894" ht="22" customHeight="1">
      <x:c r="A894" s="137" t="str">
        <x:v>SCR-0889</x:v>
      </x:c>
      <x:c r="B894" s="142" t="n">
        <x:v>0.0000010743589743589741</x:v>
      </x:c>
      <x:c r="C894" s="142" t="n">
        <x:v>0.011</x:v>
      </x:c>
      <x:c r="D894" s="160" t="n">
        <x:v>1</x:v>
      </x:c>
      <x:c r="E894" s="162" t="n">
        <x:v>-2798.349556182647</x:v>
      </x:c>
      <x:c r="F894" s="162" t="n">
        <x:v>0</x:v>
      </x:c>
      <x:c r="G894" s="144" t="n">
        <x:v>0.02771390594758361</x:v>
      </x:c>
      <x:c r="H894" s="144" t="n">
        <x:v>0.5</x:v>
      </x:c>
      <x:c r="I894" s="137" t="str">
        <x:v>NONPOSITIVE-MODEL-MARGIN</x:v>
      </x:c>
      <x:c r="J894" s="137" t="str">
        <x:v>V0.7-CONTROLLED-RESEARCH-SCREEN-NOT-DISTRIBUTION</x:v>
      </x:c>
    </x:row>
    <x:row r="895" ht="22" customHeight="1">
      <x:c r="A895" s="136" t="str">
        <x:v>SCR-0890</x:v>
      </x:c>
      <x:c r="B895" s="143" t="n">
        <x:v>0.0000010743589743589741</x:v>
      </x:c>
      <x:c r="C895" s="143" t="n">
        <x:v>0.011307692307692307</x:v>
      </x:c>
      <x:c r="D895" s="161" t="n">
        <x:v>1</x:v>
      </x:c>
      <x:c r="E895" s="163" t="n">
        <x:v>-2816.198850934742</x:v>
      </x:c>
      <x:c r="F895" s="163" t="n">
        <x:v>0</x:v>
      </x:c>
      <x:c r="G895" s="145" t="n">
        <x:v>0.028011082371176</x:v>
      </x:c>
      <x:c r="H895" s="145" t="n">
        <x:v>0.5</x:v>
      </x:c>
      <x:c r="I895" s="136" t="str">
        <x:v>NONPOSITIVE-MODEL-MARGIN</x:v>
      </x:c>
      <x:c r="J895" s="136" t="str">
        <x:v>V0.7-CONTROLLED-RESEARCH-SCREEN-NOT-DISTRIBUTION</x:v>
      </x:c>
    </x:row>
    <x:row r="896" ht="22" customHeight="1">
      <x:c r="A896" s="137" t="str">
        <x:v>SCR-0891</x:v>
      </x:c>
      <x:c r="B896" s="142" t="n">
        <x:v>0.0000010743589743589741</x:v>
      </x:c>
      <x:c r="C896" s="142" t="n">
        <x:v>0.011615384615384614</x:v>
      </x:c>
      <x:c r="D896" s="160" t="n">
        <x:v>1</x:v>
      </x:c>
      <x:c r="E896" s="162" t="n">
        <x:v>-2833.9978008991907</x:v>
      </x:c>
      <x:c r="F896" s="162" t="n">
        <x:v>0</x:v>
      </x:c>
      <x:c r="G896" s="144" t="n">
        <x:v>0.028308258794768393</x:v>
      </x:c>
      <x:c r="H896" s="144" t="n">
        <x:v>0.5</x:v>
      </x:c>
      <x:c r="I896" s="137" t="str">
        <x:v>NONPOSITIVE-MODEL-MARGIN</x:v>
      </x:c>
      <x:c r="J896" s="137" t="str">
        <x:v>V0.7-CONTROLLED-RESEARCH-SCREEN-NOT-DISTRIBUTION</x:v>
      </x:c>
    </x:row>
    <x:row r="897" ht="22" customHeight="1">
      <x:c r="A897" s="136" t="str">
        <x:v>SCR-0892</x:v>
      </x:c>
      <x:c r="B897" s="143" t="n">
        <x:v>0.0000010743589743589741</x:v>
      </x:c>
      <x:c r="C897" s="143" t="n">
        <x:v>0.011923076923076925</x:v>
      </x:c>
      <x:c r="D897" s="161" t="n">
        <x:v>1</x:v>
      </x:c>
      <x:c r="E897" s="163" t="n">
        <x:v>-2851.74681345074</x:v>
      </x:c>
      <x:c r="F897" s="163" t="n">
        <x:v>0</x:v>
      </x:c>
      <x:c r="G897" s="145" t="n">
        <x:v>0.02860543521836079</x:v>
      </x:c>
      <x:c r="H897" s="145" t="n">
        <x:v>0.5</x:v>
      </x:c>
      <x:c r="I897" s="136" t="str">
        <x:v>NONPOSITIVE-MODEL-MARGIN</x:v>
      </x:c>
      <x:c r="J897" s="136" t="str">
        <x:v>V0.7-CONTROLLED-RESEARCH-SCREEN-NOT-DISTRIBUTION</x:v>
      </x:c>
    </x:row>
    <x:row r="898" ht="22" customHeight="1">
      <x:c r="A898" s="137" t="str">
        <x:v>SCR-0893</x:v>
      </x:c>
      <x:c r="B898" s="142" t="n">
        <x:v>0.0000010743589743589741</x:v>
      </x:c>
      <x:c r="C898" s="142" t="n">
        <x:v>0.012230769230769233</x:v>
      </x:c>
      <x:c r="D898" s="160" t="n">
        <x:v>1</x:v>
      </x:c>
      <x:c r="E898" s="162" t="n">
        <x:v>-2869.4462895557813</x:v>
      </x:c>
      <x:c r="F898" s="162" t="n">
        <x:v>0</x:v>
      </x:c>
      <x:c r="G898" s="144" t="n">
        <x:v>0.028902611641953183</x:v>
      </x:c>
      <x:c r="H898" s="144" t="n">
        <x:v>0.5</x:v>
      </x:c>
      <x:c r="I898" s="137" t="str">
        <x:v>NONPOSITIVE-MODEL-MARGIN</x:v>
      </x:c>
      <x:c r="J898" s="137" t="str">
        <x:v>V0.7-CONTROLLED-RESEARCH-SCREEN-NOT-DISTRIBUTION</x:v>
      </x:c>
    </x:row>
    <x:row r="899" ht="22" customHeight="1">
      <x:c r="A899" s="136" t="str">
        <x:v>SCR-0894</x:v>
      </x:c>
      <x:c r="B899" s="143" t="n">
        <x:v>0.0000010743589743589741</x:v>
      </x:c>
      <x:c r="C899" s="143" t="n">
        <x:v>0.01253846153846154</x:v>
      </x:c>
      <x:c r="D899" s="161" t="n">
        <x:v>1</x:v>
      </x:c>
      <x:c r="E899" s="163" t="n">
        <x:v>-2887.096623906872</x:v>
      </x:c>
      <x:c r="F899" s="163" t="n">
        <x:v>0</x:v>
      </x:c>
      <x:c r="G899" s="145" t="n">
        <x:v>0.029199788065545573</x:v>
      </x:c>
      <x:c r="H899" s="145" t="n">
        <x:v>0.5</x:v>
      </x:c>
      <x:c r="I899" s="136" t="str">
        <x:v>NONPOSITIVE-MODEL-MARGIN</x:v>
      </x:c>
      <x:c r="J899" s="136" t="str">
        <x:v>V0.7-CONTROLLED-RESEARCH-SCREEN-NOT-DISTRIBUTION</x:v>
      </x:c>
    </x:row>
    <x:row r="900" ht="22" customHeight="1">
      <x:c r="A900" s="137" t="str">
        <x:v>SCR-0895</x:v>
      </x:c>
      <x:c r="B900" s="142" t="n">
        <x:v>0.0000010743589743589741</x:v>
      </x:c>
      <x:c r="C900" s="142" t="n">
        <x:v>0.012846153846153847</x:v>
      </x:c>
      <x:c r="D900" s="160" t="n">
        <x:v>1</x:v>
      </x:c>
      <x:c r="E900" s="162" t="n">
        <x:v>-2904.698205054215</x:v>
      </x:c>
      <x:c r="F900" s="162" t="n">
        <x:v>0</x:v>
      </x:c>
      <x:c r="G900" s="144" t="n">
        <x:v>0.029496964489137967</x:v>
      </x:c>
      <x:c r="H900" s="144" t="n">
        <x:v>0.5</x:v>
      </x:c>
      <x:c r="I900" s="137" t="str">
        <x:v>NONPOSITIVE-MODEL-MARGIN</x:v>
      </x:c>
      <x:c r="J900" s="137" t="str">
        <x:v>V0.7-CONTROLLED-RESEARCH-SCREEN-NOT-DISTRIBUTION</x:v>
      </x:c>
    </x:row>
    <x:row r="901" ht="22" customHeight="1">
      <x:c r="A901" s="136" t="str">
        <x:v>SCR-0896</x:v>
      </x:c>
      <x:c r="B901" s="143" t="n">
        <x:v>0.0000010743589743589741</x:v>
      </x:c>
      <x:c r="C901" s="143" t="n">
        <x:v>0.013153846153846155</x:v>
      </x:c>
      <x:c r="D901" s="161" t="n">
        <x:v>1</x:v>
      </x:c>
      <x:c r="E901" s="163" t="n">
        <x:v>-2922.25141553434</x:v>
      </x:c>
      <x:c r="F901" s="163" t="n">
        <x:v>0</x:v>
      </x:c>
      <x:c r="G901" s="145" t="n">
        <x:v>0.029794140912730357</x:v>
      </x:c>
      <x:c r="H901" s="145" t="n">
        <x:v>0.5</x:v>
      </x:c>
      <x:c r="I901" s="136" t="str">
        <x:v>NONPOSITIVE-MODEL-MARGIN</x:v>
      </x:c>
      <x:c r="J901" s="136" t="str">
        <x:v>V0.7-CONTROLLED-RESEARCH-SCREEN-NOT-DISTRIBUTION</x:v>
      </x:c>
    </x:row>
    <x:row r="902" ht="22" customHeight="1">
      <x:c r="A902" s="137" t="str">
        <x:v>SCR-0897</x:v>
      </x:c>
      <x:c r="B902" s="142" t="n">
        <x:v>0.0000010743589743589741</x:v>
      </x:c>
      <x:c r="C902" s="142" t="n">
        <x:v>0.013461538461538462</x:v>
      </x:c>
      <x:c r="D902" s="160" t="n">
        <x:v>1</x:v>
      </x:c>
      <x:c r="E902" s="162" t="n">
        <x:v>-2939.756631995812</x:v>
      </x:c>
      <x:c r="F902" s="162" t="n">
        <x:v>0</x:v>
      </x:c>
      <x:c r="G902" s="144" t="n">
        <x:v>0.03009131733632274</x:v>
      </x:c>
      <x:c r="H902" s="144" t="n">
        <x:v>0.5</x:v>
      </x:c>
      <x:c r="I902" s="137" t="str">
        <x:v>NONPOSITIVE-MODEL-MARGIN</x:v>
      </x:c>
      <x:c r="J902" s="137" t="str">
        <x:v>V0.7-CONTROLLED-RESEARCH-SCREEN-NOT-DISTRIBUTION</x:v>
      </x:c>
    </x:row>
    <x:row r="903" ht="22" customHeight="1">
      <x:c r="A903" s="136" t="str">
        <x:v>SCR-0898</x:v>
      </x:c>
      <x:c r="B903" s="143" t="n">
        <x:v>0.0000010743589743589741</x:v>
      </x:c>
      <x:c r="C903" s="143" t="n">
        <x:v>0.01376923076923077</x:v>
      </x:c>
      <x:c r="D903" s="161" t="n">
        <x:v>1</x:v>
      </x:c>
      <x:c r="E903" s="163" t="n">
        <x:v>-2957.2142253221496</x:v>
      </x:c>
      <x:c r="F903" s="163" t="n">
        <x:v>0</x:v>
      </x:c>
      <x:c r="G903" s="145" t="n">
        <x:v>0.03038849375991514</x:v>
      </x:c>
      <x:c r="H903" s="145" t="n">
        <x:v>0.5</x:v>
      </x:c>
      <x:c r="I903" s="136" t="str">
        <x:v>NONPOSITIVE-MODEL-MARGIN</x:v>
      </x:c>
      <x:c r="J903" s="136" t="str">
        <x:v>V0.7-CONTROLLED-RESEARCH-SCREEN-NOT-DISTRIBUTION</x:v>
      </x:c>
    </x:row>
    <x:row r="904" ht="22" customHeight="1">
      <x:c r="A904" s="137" t="str">
        <x:v>SCR-0899</x:v>
      </x:c>
      <x:c r="B904" s="142" t="n">
        <x:v>0.0000010743589743589741</x:v>
      </x:c>
      <x:c r="C904" s="142" t="n">
        <x:v>0.014076923076923077</x:v>
      </x:c>
      <x:c r="D904" s="160" t="n">
        <x:v>1</x:v>
      </x:c>
      <x:c r="E904" s="162" t="n">
        <x:v>-2974.6245607519313</x:v>
      </x:c>
      <x:c r="F904" s="162" t="n">
        <x:v>0</x:v>
      </x:c>
      <x:c r="G904" s="144" t="n">
        <x:v>0.03068567018350753</x:v>
      </x:c>
      <x:c r="H904" s="144" t="n">
        <x:v>0.5</x:v>
      </x:c>
      <x:c r="I904" s="137" t="str">
        <x:v>NONPOSITIVE-MODEL-MARGIN</x:v>
      </x:c>
      <x:c r="J904" s="137" t="str">
        <x:v>V0.7-CONTROLLED-RESEARCH-SCREEN-NOT-DISTRIBUTION</x:v>
      </x:c>
    </x:row>
    <x:row r="905" ht="22" customHeight="1">
      <x:c r="A905" s="136" t="str">
        <x:v>SCR-0900</x:v>
      </x:c>
      <x:c r="B905" s="143" t="n">
        <x:v>0.0000010743589743589741</x:v>
      </x:c>
      <x:c r="C905" s="143" t="n">
        <x:v>0.014384615384615385</x:v>
      </x:c>
      <x:c r="D905" s="161" t="n">
        <x:v>1</x:v>
      </x:c>
      <x:c r="E905" s="163" t="n">
        <x:v>-2991.9879979960783</x:v>
      </x:c>
      <x:c r="F905" s="163" t="n">
        <x:v>0</x:v>
      </x:c>
      <x:c r="G905" s="145" t="n">
        <x:v>0.03098284660709992</x:v>
      </x:c>
      <x:c r="H905" s="145" t="n">
        <x:v>0.5</x:v>
      </x:c>
      <x:c r="I905" s="136" t="str">
        <x:v>NONPOSITIVE-MODEL-MARGIN</x:v>
      </x:c>
      <x:c r="J905" s="136" t="str">
        <x:v>V0.7-CONTROLLED-RESEARCH-SCREEN-NOT-DISTRIBUTION</x:v>
      </x:c>
    </x:row>
    <x:row r="906" ht="22" customHeight="1">
      <x:c r="A906" s="137" t="str">
        <x:v>SCR-0901</x:v>
      </x:c>
      <x:c r="B906" s="142" t="n">
        <x:v>0.0000010743589743589741</x:v>
      </x:c>
      <x:c r="C906" s="142" t="n">
        <x:v>0.014692307692307692</x:v>
      </x:c>
      <x:c r="D906" s="160" t="n">
        <x:v>1</x:v>
      </x:c>
      <x:c r="E906" s="162" t="n">
        <x:v>-3009.3048913524894</x:v>
      </x:c>
      <x:c r="F906" s="162" t="n">
        <x:v>0</x:v>
      </x:c>
      <x:c r="G906" s="144" t="n">
        <x:v>0.031280023030692314</x:v>
      </x:c>
      <x:c r="H906" s="144" t="n">
        <x:v>0.5</x:v>
      </x:c>
      <x:c r="I906" s="137" t="str">
        <x:v>NONPOSITIVE-MODEL-MARGIN</x:v>
      </x:c>
      <x:c r="J906" s="137" t="str">
        <x:v>V0.7-CONTROLLED-RESEARCH-SCREEN-NOT-DISTRIBUTION</x:v>
      </x:c>
    </x:row>
    <x:row r="907" ht="22" customHeight="1">
      <x:c r="A907" s="136" t="str">
        <x:v>SCR-0902</x:v>
      </x:c>
      <x:c r="B907" s="143" t="n">
        <x:v>0.0000010743589743589741</x:v>
      </x:c>
      <x:c r="C907" s="143" t="n">
        <x:v>0.015</x:v>
      </x:c>
      <x:c r="D907" s="161" t="n">
        <x:v>1</x:v>
      </x:c>
      <x:c r="E907" s="163" t="n">
        <x:v>-3026.5755898179063</x:v>
      </x:c>
      <x:c r="F907" s="163" t="n">
        <x:v>0</x:v>
      </x:c>
      <x:c r="G907" s="145" t="n">
        <x:v>0.0315771994542847</x:v>
      </x:c>
      <x:c r="H907" s="145" t="n">
        <x:v>0.5</x:v>
      </x:c>
      <x:c r="I907" s="136" t="str">
        <x:v>NONPOSITIVE-MODEL-MARGIN</x:v>
      </x:c>
      <x:c r="J907" s="136" t="str">
        <x:v>V0.7-CONTROLLED-RESEARCH-SCREEN-NOT-DISTRIBUTION</x:v>
      </x:c>
    </x:row>
    <x:row r="908" ht="22" customHeight="1">
      <x:c r="A908" s="137" t="str">
        <x:v>SCR-0903</x:v>
      </x:c>
      <x:c r="B908" s="142" t="n">
        <x:v>0.000001123076923076923</x:v>
      </x:c>
      <x:c r="C908" s="142" t="n">
        <x:v>0.003</x:v>
      </x:c>
      <x:c r="D908" s="160" t="n">
        <x:v>1</x:v>
      </x:c>
      <x:c r="E908" s="162" t="n">
        <x:v>-2352.358890346956</x:v>
      </x:c>
      <x:c r="F908" s="162" t="n">
        <x:v>0</x:v>
      </x:c>
      <x:c r="G908" s="144" t="n">
        <x:v>0.02070916866397294</x:v>
      </x:c>
      <x:c r="H908" s="144" t="n">
        <x:v>0.5</x:v>
      </x:c>
      <x:c r="I908" s="137" t="str">
        <x:v>NONPOSITIVE-MODEL-MARGIN</x:v>
      </x:c>
      <x:c r="J908" s="137" t="str">
        <x:v>V0.7-CONTROLLED-RESEARCH-SCREEN-NOT-DISTRIBUTION</x:v>
      </x:c>
    </x:row>
    <x:row r="909" ht="22" customHeight="1">
      <x:c r="A909" s="136" t="str">
        <x:v>SCR-0904</x:v>
      </x:c>
      <x:c r="B909" s="143" t="n">
        <x:v>0.000001123076923076923</x:v>
      </x:c>
      <x:c r="C909" s="143" t="n">
        <x:v>0.003307692307692308</x:v>
      </x:c>
      <x:c r="D909" s="161" t="n">
        <x:v>1</x:v>
      </x:c>
      <x:c r="E909" s="163" t="n">
        <x:v>-2371.5793451249638</x:v>
      </x:c>
      <x:c r="F909" s="163" t="n">
        <x:v>0</x:v>
      </x:c>
      <x:c r="G909" s="145" t="n">
        <x:v>0.021005898219088003</x:v>
      </x:c>
      <x:c r="H909" s="145" t="n">
        <x:v>0.5</x:v>
      </x:c>
      <x:c r="I909" s="136" t="str">
        <x:v>NONPOSITIVE-MODEL-MARGIN</x:v>
      </x:c>
      <x:c r="J909" s="136" t="str">
        <x:v>V0.7-CONTROLLED-RESEARCH-SCREEN-NOT-DISTRIBUTION</x:v>
      </x:c>
    </x:row>
    <x:row r="910" ht="22" customHeight="1">
      <x:c r="A910" s="137" t="str">
        <x:v>SCR-0905</x:v>
      </x:c>
      <x:c r="B910" s="142" t="n">
        <x:v>0.000001123076923076923</x:v>
      </x:c>
      <x:c r="C910" s="142" t="n">
        <x:v>0.0036153846153846154</x:v>
      </x:c>
      <x:c r="D910" s="160" t="n">
        <x:v>1</x:v>
      </x:c>
      <x:c r="E910" s="162" t="n">
        <x:v>-2390.737052129977</x:v>
      </x:c>
      <x:c r="F910" s="162" t="n">
        <x:v>0</x:v>
      </x:c>
      <x:c r="G910" s="144" t="n">
        <x:v>0.02130262777420306</x:v>
      </x:c>
      <x:c r="H910" s="144" t="n">
        <x:v>0.5</x:v>
      </x:c>
      <x:c r="I910" s="137" t="str">
        <x:v>NONPOSITIVE-MODEL-MARGIN</x:v>
      </x:c>
      <x:c r="J910" s="137" t="str">
        <x:v>V0.7-CONTROLLED-RESEARCH-SCREEN-NOT-DISTRIBUTION</x:v>
      </x:c>
    </x:row>
    <x:row r="911" ht="22" customHeight="1">
      <x:c r="A911" s="136" t="str">
        <x:v>SCR-0906</x:v>
      </x:c>
      <x:c r="B911" s="143" t="n">
        <x:v>0.000001123076923076923</x:v>
      </x:c>
      <x:c r="C911" s="143" t="n">
        <x:v>0.003923076923076923</x:v>
      </x:c>
      <x:c r="D911" s="161" t="n">
        <x:v>1</x:v>
      </x:c>
      <x:c r="E911" s="163" t="n">
        <x:v>-2409.8326314621904</x:v>
      </x:c>
      <x:c r="F911" s="163" t="n">
        <x:v>0</x:v>
      </x:c>
      <x:c r="G911" s="145" t="n">
        <x:v>0.021599357329318124</x:v>
      </x:c>
      <x:c r="H911" s="145" t="n">
        <x:v>0.5</x:v>
      </x:c>
      <x:c r="I911" s="136" t="str">
        <x:v>NONPOSITIVE-MODEL-MARGIN</x:v>
      </x:c>
      <x:c r="J911" s="136" t="str">
        <x:v>V0.7-CONTROLLED-RESEARCH-SCREEN-NOT-DISTRIBUTION</x:v>
      </x:c>
    </x:row>
    <x:row r="912" ht="22" customHeight="1">
      <x:c r="A912" s="137" t="str">
        <x:v>SCR-0907</x:v>
      </x:c>
      <x:c r="B912" s="142" t="n">
        <x:v>0.000001123076923076923</x:v>
      </x:c>
      <x:c r="C912" s="142" t="n">
        <x:v>0.004230769230769231</x:v>
      </x:c>
      <x:c r="D912" s="160" t="n">
        <x:v>1</x:v>
      </x:c>
      <x:c r="E912" s="162" t="n">
        <x:v>-2432.6660002998387</x:v>
      </x:c>
      <x:c r="F912" s="162" t="n">
        <x:v>0</x:v>
      </x:c>
      <x:c r="G912" s="144" t="n">
        <x:v>0.021896086884433185</x:v>
      </x:c>
      <x:c r="H912" s="144" t="n">
        <x:v>0.5</x:v>
      </x:c>
      <x:c r="I912" s="137" t="str">
        <x:v>NONPOSITIVE-MODEL-MARGIN</x:v>
      </x:c>
      <x:c r="J912" s="137" t="str">
        <x:v>V0.7-CONTROLLED-RESEARCH-SCREEN-NOT-DISTRIBUTION</x:v>
      </x:c>
    </x:row>
    <x:row r="913" ht="22" customHeight="1">
      <x:c r="A913" s="136" t="str">
        <x:v>SCR-0908</x:v>
      </x:c>
      <x:c r="B913" s="143" t="n">
        <x:v>0.000001123076923076923</x:v>
      </x:c>
      <x:c r="C913" s="143" t="n">
        <x:v>0.004538461538461538</x:v>
      </x:c>
      <x:c r="D913" s="161" t="n">
        <x:v>1</x:v>
      </x:c>
      <x:c r="E913" s="163" t="n">
        <x:v>-2451.6253770629974</x:v>
      </x:c>
      <x:c r="F913" s="163" t="n">
        <x:v>0</x:v>
      </x:c>
      <x:c r="G913" s="145" t="n">
        <x:v>0.02219281643954824</x:v>
      </x:c>
      <x:c r="H913" s="145" t="n">
        <x:v>0.5</x:v>
      </x:c>
      <x:c r="I913" s="136" t="str">
        <x:v>NONPOSITIVE-MODEL-MARGIN</x:v>
      </x:c>
      <x:c r="J913" s="136" t="str">
        <x:v>V0.7-CONTROLLED-RESEARCH-SCREEN-NOT-DISTRIBUTION</x:v>
      </x:c>
    </x:row>
    <x:row r="914" ht="22" customHeight="1">
      <x:c r="A914" s="137" t="str">
        <x:v>SCR-0909</x:v>
      </x:c>
      <x:c r="B914" s="142" t="n">
        <x:v>0.000001123076923076923</x:v>
      </x:c>
      <x:c r="C914" s="142" t="n">
        <x:v>0.004846153846153846</x:v>
      </x:c>
      <x:c r="D914" s="160" t="n">
        <x:v>1</x:v>
      </x:c>
      <x:c r="E914" s="162" t="n">
        <x:v>-2470.5246005519043</x:v>
      </x:c>
      <x:c r="F914" s="162" t="n">
        <x:v>0</x:v>
      </x:c>
      <x:c r="G914" s="144" t="n">
        <x:v>0.022489545994663303</x:v>
      </x:c>
      <x:c r="H914" s="144" t="n">
        <x:v>0.5</x:v>
      </x:c>
      <x:c r="I914" s="137" t="str">
        <x:v>NONPOSITIVE-MODEL-MARGIN</x:v>
      </x:c>
      <x:c r="J914" s="137" t="str">
        <x:v>V0.7-CONTROLLED-RESEARCH-SCREEN-NOT-DISTRIBUTION</x:v>
      </x:c>
    </x:row>
    <x:row r="915" ht="22" customHeight="1">
      <x:c r="A915" s="136" t="str">
        <x:v>SCR-0910</x:v>
      </x:c>
      <x:c r="B915" s="143" t="n">
        <x:v>0.000001123076923076923</x:v>
      </x:c>
      <x:c r="C915" s="143" t="n">
        <x:v>0.005</x:v>
      </x:c>
      <x:c r="D915" s="161" t="n">
        <x:v>1</x:v>
      </x:c>
      <x:c r="E915" s="163" t="n">
        <x:v>-2479.951834273626</x:v>
      </x:c>
      <x:c r="F915" s="163" t="n">
        <x:v>0</x:v>
      </x:c>
      <x:c r="G915" s="145" t="n">
        <x:v>0.022637910772220837</x:v>
      </x:c>
      <x:c r="H915" s="145" t="n">
        <x:v>0.5</x:v>
      </x:c>
      <x:c r="I915" s="136" t="str">
        <x:v>NONPOSITIVE-MODEL-MARGIN</x:v>
      </x:c>
      <x:c r="J915" s="136" t="str">
        <x:v>V0.7-CONTROLLED-RESEARCH-SCREEN-NOT-DISTRIBUTION</x:v>
      </x:c>
    </x:row>
    <x:row r="916" ht="22" customHeight="1">
      <x:c r="A916" s="137" t="str">
        <x:v>SCR-0911</x:v>
      </x:c>
      <x:c r="B916" s="142" t="n">
        <x:v>0.000001123076923076923</x:v>
      </x:c>
      <x:c r="C916" s="142" t="n">
        <x:v>0.005153846153846154</x:v>
      </x:c>
      <x:c r="D916" s="160" t="n">
        <x:v>1</x:v>
      </x:c>
      <x:c r="E916" s="162" t="n">
        <x:v>-2489.364243775765</x:v>
      </x:c>
      <x:c r="F916" s="162" t="n">
        <x:v>0</x:v>
      </x:c>
      <x:c r="G916" s="144" t="n">
        <x:v>0.022786275549778363</x:v>
      </x:c>
      <x:c r="H916" s="144" t="n">
        <x:v>0.5</x:v>
      </x:c>
      <x:c r="I916" s="137" t="str">
        <x:v>NONPOSITIVE-MODEL-MARGIN</x:v>
      </x:c>
      <x:c r="J916" s="137" t="str">
        <x:v>V0.7-CONTROLLED-RESEARCH-SCREEN-NOT-DISTRIBUTION</x:v>
      </x:c>
    </x:row>
    <x:row r="917" ht="22" customHeight="1">
      <x:c r="A917" s="136" t="str">
        <x:v>SCR-0912</x:v>
      </x:c>
      <x:c r="B917" s="143" t="n">
        <x:v>0.000001123076923076923</x:v>
      </x:c>
      <x:c r="C917" s="143" t="n">
        <x:v>0.005461538461538462</x:v>
      </x:c>
      <x:c r="D917" s="161" t="n">
        <x:v>1</x:v>
      </x:c>
      <x:c r="E917" s="163" t="n">
        <x:v>-2508.144869823848</x:v>
      </x:c>
      <x:c r="F917" s="163" t="n">
        <x:v>0</x:v>
      </x:c>
      <x:c r="G917" s="145" t="n">
        <x:v>0.023083005104893424</x:v>
      </x:c>
      <x:c r="H917" s="145" t="n">
        <x:v>0.5</x:v>
      </x:c>
      <x:c r="I917" s="136" t="str">
        <x:v>NONPOSITIVE-MODEL-MARGIN</x:v>
      </x:c>
      <x:c r="J917" s="136" t="str">
        <x:v>V0.7-CONTROLLED-RESEARCH-SCREEN-NOT-DISTRIBUTION</x:v>
      </x:c>
    </x:row>
    <x:row r="918" ht="22" customHeight="1">
      <x:c r="A918" s="137" t="str">
        <x:v>SCR-0913</x:v>
      </x:c>
      <x:c r="B918" s="142" t="n">
        <x:v>0.000001123076923076923</x:v>
      </x:c>
      <x:c r="C918" s="142" t="n">
        <x:v>0.0057692307692307696</x:v>
      </x:c>
      <x:c r="D918" s="160" t="n">
        <x:v>1</x:v>
      </x:c>
      <x:c r="E918" s="162" t="n">
        <x:v>-2526.867032056872</x:v>
      </x:c>
      <x:c r="F918" s="162" t="n">
        <x:v>0</x:v>
      </x:c>
      <x:c r="G918" s="144" t="n">
        <x:v>0.023379734660008485</x:v>
      </x:c>
      <x:c r="H918" s="144" t="n">
        <x:v>0.5</x:v>
      </x:c>
      <x:c r="I918" s="137" t="str">
        <x:v>NONPOSITIVE-MODEL-MARGIN</x:v>
      </x:c>
      <x:c r="J918" s="137" t="str">
        <x:v>V0.7-CONTROLLED-RESEARCH-SCREEN-NOT-DISTRIBUTION</x:v>
      </x:c>
    </x:row>
    <x:row r="919" ht="22" customHeight="1">
      <x:c r="A919" s="136" t="str">
        <x:v>SCR-0914</x:v>
      </x:c>
      <x:c r="B919" s="143" t="n">
        <x:v>0.000001123076923076923</x:v>
      </x:c>
      <x:c r="C919" s="143" t="n">
        <x:v>0.006076923076923077</x:v>
      </x:c>
      <x:c r="D919" s="161" t="n">
        <x:v>1</x:v>
      </x:c>
      <x:c r="E919" s="163" t="n">
        <x:v>-2545.531274298203</x:v>
      </x:c>
      <x:c r="F919" s="163" t="n">
        <x:v>0</x:v>
      </x:c>
      <x:c r="G919" s="145" t="n">
        <x:v>0.02367646421512355</x:v>
      </x:c>
      <x:c r="H919" s="145" t="n">
        <x:v>0.5</x:v>
      </x:c>
      <x:c r="I919" s="136" t="str">
        <x:v>NONPOSITIVE-MODEL-MARGIN</x:v>
      </x:c>
      <x:c r="J919" s="136" t="str">
        <x:v>V0.7-CONTROLLED-RESEARCH-SCREEN-NOT-DISTRIBUTION</x:v>
      </x:c>
    </x:row>
    <x:row r="920" ht="22" customHeight="1">
      <x:c r="A920" s="137" t="str">
        <x:v>SCR-0915</x:v>
      </x:c>
      <x:c r="B920" s="142" t="n">
        <x:v>0.000001123076923076923</x:v>
      </x:c>
      <x:c r="C920" s="142" t="n">
        <x:v>0.006384615384615384</x:v>
      </x:c>
      <x:c r="D920" s="160" t="n">
        <x:v>1</x:v>
      </x:c>
      <x:c r="E920" s="162" t="n">
        <x:v>-2567.8446847959776</x:v>
      </x:c>
      <x:c r="F920" s="162" t="n">
        <x:v>0</x:v>
      </x:c>
      <x:c r="G920" s="144" t="n">
        <x:v>0.023973193770238606</x:v>
      </x:c>
      <x:c r="H920" s="144" t="n">
        <x:v>0.5</x:v>
      </x:c>
      <x:c r="I920" s="137" t="str">
        <x:v>NONPOSITIVE-MODEL-MARGIN</x:v>
      </x:c>
      <x:c r="J920" s="137" t="str">
        <x:v>V0.7-CONTROLLED-RESEARCH-SCREEN-NOT-DISTRIBUTION</x:v>
      </x:c>
    </x:row>
    <x:row r="921" ht="22" customHeight="1">
      <x:c r="A921" s="136" t="str">
        <x:v>SCR-0916</x:v>
      </x:c>
      <x:c r="B921" s="143" t="n">
        <x:v>0.000001123076923076923</x:v>
      </x:c>
      <x:c r="C921" s="143" t="n">
        <x:v>0.006692307692307693</x:v>
      </x:c>
      <x:c r="D921" s="161" t="n">
        <x:v>1</x:v>
      </x:c>
      <x:c r="E921" s="163" t="n">
        <x:v>-2586.3820756814785</x:v>
      </x:c>
      <x:c r="F921" s="163" t="n">
        <x:v>0</x:v>
      </x:c>
      <x:c r="G921" s="145" t="n">
        <x:v>0.024269923325353663</x:v>
      </x:c>
      <x:c r="H921" s="145" t="n">
        <x:v>0.5</x:v>
      </x:c>
      <x:c r="I921" s="136" t="str">
        <x:v>NONPOSITIVE-MODEL-MARGIN</x:v>
      </x:c>
      <x:c r="J921" s="136" t="str">
        <x:v>V0.7-CONTROLLED-RESEARCH-SCREEN-NOT-DISTRIBUTION</x:v>
      </x:c>
    </x:row>
    <x:row r="922" ht="22" customHeight="1">
      <x:c r="A922" s="137" t="str">
        <x:v>SCR-0917</x:v>
      </x:c>
      <x:c r="B922" s="142" t="n">
        <x:v>0.000001123076923076923</x:v>
      </x:c>
      <x:c r="C922" s="142" t="n">
        <x:v>0.007</x:v>
      </x:c>
      <x:c r="D922" s="160" t="n">
        <x:v>1</x:v>
      </x:c>
      <x:c r="E922" s="162" t="n">
        <x:v>-2604.8632721194776</x:v>
      </x:c>
      <x:c r="F922" s="162" t="n">
        <x:v>0</x:v>
      </x:c>
      <x:c r="G922" s="144" t="n">
        <x:v>0.02456665288046872</x:v>
      </x:c>
      <x:c r="H922" s="144" t="n">
        <x:v>0.5</x:v>
      </x:c>
      <x:c r="I922" s="137" t="str">
        <x:v>NONPOSITIVE-MODEL-MARGIN</x:v>
      </x:c>
      <x:c r="J922" s="137" t="str">
        <x:v>V0.7-CONTROLLED-RESEARCH-SCREEN-NOT-DISTRIBUTION</x:v>
      </x:c>
    </x:row>
    <x:row r="923" ht="22" customHeight="1">
      <x:c r="A923" s="136" t="str">
        <x:v>SCR-0918</x:v>
      </x:c>
      <x:c r="B923" s="143" t="n">
        <x:v>0.000001123076923076923</x:v>
      </x:c>
      <x:c r="C923" s="143" t="n">
        <x:v>0.007307692307692308</x:v>
      </x:c>
      <x:c r="D923" s="161" t="n">
        <x:v>1</x:v>
      </x:c>
      <x:c r="E923" s="163" t="n">
        <x:v>-2623.2887780852834</x:v>
      </x:c>
      <x:c r="F923" s="163" t="n">
        <x:v>0</x:v>
      </x:c>
      <x:c r="G923" s="145" t="n">
        <x:v>0.024863382435583788</x:v>
      </x:c>
      <x:c r="H923" s="145" t="n">
        <x:v>0.5</x:v>
      </x:c>
      <x:c r="I923" s="136" t="str">
        <x:v>NONPOSITIVE-MODEL-MARGIN</x:v>
      </x:c>
      <x:c r="J923" s="136" t="str">
        <x:v>V0.7-CONTROLLED-RESEARCH-SCREEN-NOT-DISTRIBUTION</x:v>
      </x:c>
    </x:row>
    <x:row r="924" ht="22" customHeight="1">
      <x:c r="A924" s="137" t="str">
        <x:v>SCR-0919</x:v>
      </x:c>
      <x:c r="B924" s="142" t="n">
        <x:v>0.000001123076923076923</x:v>
      </x:c>
      <x:c r="C924" s="142" t="n">
        <x:v>0.007615384615384616</x:v>
      </x:c>
      <x:c r="D924" s="160" t="n">
        <x:v>1</x:v>
      </x:c>
      <x:c r="E924" s="162" t="n">
        <x:v>-2641.659089081238</x:v>
      </x:c>
      <x:c r="F924" s="162" t="n">
        <x:v>0</x:v>
      </x:c>
      <x:c r="G924" s="144" t="n">
        <x:v>0.025160111990698848</x:v>
      </x:c>
      <x:c r="H924" s="144" t="n">
        <x:v>0.5</x:v>
      </x:c>
      <x:c r="I924" s="137" t="str">
        <x:v>NONPOSITIVE-MODEL-MARGIN</x:v>
      </x:c>
      <x:c r="J924" s="137" t="str">
        <x:v>V0.7-CONTROLLED-RESEARCH-SCREEN-NOT-DISTRIBUTION</x:v>
      </x:c>
    </x:row>
    <x:row r="925" ht="22" customHeight="1">
      <x:c r="A925" s="136" t="str">
        <x:v>SCR-0920</x:v>
      </x:c>
      <x:c r="B925" s="143" t="n">
        <x:v>0.000001123076923076923</x:v>
      </x:c>
      <x:c r="C925" s="143" t="n">
        <x:v>0.007923076923076923</x:v>
      </x:c>
      <x:c r="D925" s="161" t="n">
        <x:v>1</x:v>
      </x:c>
      <x:c r="E925" s="163" t="n">
        <x:v>-2659.974692311542</x:v>
      </x:c>
      <x:c r="F925" s="163" t="n">
        <x:v>0</x:v>
      </x:c>
      <x:c r="G925" s="145" t="n">
        <x:v>0.02545684154581391</x:v>
      </x:c>
      <x:c r="H925" s="145" t="n">
        <x:v>0.5</x:v>
      </x:c>
      <x:c r="I925" s="136" t="str">
        <x:v>NONPOSITIVE-MODEL-MARGIN</x:v>
      </x:c>
      <x:c r="J925" s="136" t="str">
        <x:v>V0.7-CONTROLLED-RESEARCH-SCREEN-NOT-DISTRIBUTION</x:v>
      </x:c>
    </x:row>
    <x:row r="926" ht="22" customHeight="1">
      <x:c r="A926" s="137" t="str">
        <x:v>SCR-0921</x:v>
      </x:c>
      <x:c r="B926" s="142" t="n">
        <x:v>0.000001123076923076923</x:v>
      </x:c>
      <x:c r="C926" s="142" t="n">
        <x:v>0.00823076923076923</x:v>
      </x:c>
      <x:c r="D926" s="160" t="n">
        <x:v>1</x:v>
      </x:c>
      <x:c r="E926" s="162" t="n">
        <x:v>-2678.2360668547635</x:v>
      </x:c>
      <x:c r="F926" s="162" t="n">
        <x:v>0</x:v>
      </x:c>
      <x:c r="G926" s="144" t="n">
        <x:v>0.025753571100928966</x:v>
      </x:c>
      <x:c r="H926" s="144" t="n">
        <x:v>0.5</x:v>
      </x:c>
      <x:c r="I926" s="137" t="str">
        <x:v>NONPOSITIVE-MODEL-MARGIN</x:v>
      </x:c>
      <x:c r="J926" s="137" t="str">
        <x:v>V0.7-CONTROLLED-RESEARCH-SCREEN-NOT-DISTRIBUTION</x:v>
      </x:c>
    </x:row>
    <x:row r="927" ht="22" customHeight="1">
      <x:c r="A927" s="136" t="str">
        <x:v>SCR-0922</x:v>
      </x:c>
      <x:c r="B927" s="143" t="n">
        <x:v>0.000001123076923076923</x:v>
      </x:c>
      <x:c r="C927" s="143" t="n">
        <x:v>0.00853846153846154</x:v>
      </x:c>
      <x:c r="D927" s="161" t="n">
        <x:v>1</x:v>
      </x:c>
      <x:c r="E927" s="163" t="n">
        <x:v>-2696.4436838336683</x:v>
      </x:c>
      <x:c r="F927" s="163" t="n">
        <x:v>0</x:v>
      </x:c>
      <x:c r="G927" s="145" t="n">
        <x:v>0.026050300656044023</x:v>
      </x:c>
      <x:c r="H927" s="145" t="n">
        <x:v>0.5</x:v>
      </x:c>
      <x:c r="I927" s="136" t="str">
        <x:v>NONPOSITIVE-MODEL-MARGIN</x:v>
      </x:c>
      <x:c r="J927" s="136" t="str">
        <x:v>V0.7-CONTROLLED-RESEARCH-SCREEN-NOT-DISTRIBUTION</x:v>
      </x:c>
    </x:row>
    <x:row r="928" ht="22" customHeight="1">
      <x:c r="A928" s="137" t="str">
        <x:v>SCR-0923</x:v>
      </x:c>
      <x:c r="B928" s="142" t="n">
        <x:v>0.000001123076923076923</x:v>
      </x:c>
      <x:c r="C928" s="142" t="n">
        <x:v>0.008846153846153847</x:v>
      </x:c>
      <x:c r="D928" s="160" t="n">
        <x:v>1</x:v>
      </x:c>
      <x:c r="E928" s="162" t="n">
        <x:v>-2714.598006582389</x:v>
      </x:c>
      <x:c r="F928" s="162" t="n">
        <x:v>0</x:v>
      </x:c>
      <x:c r="G928" s="144" t="n">
        <x:v>0.026347030211159087</x:v>
      </x:c>
      <x:c r="H928" s="144" t="n">
        <x:v>0.5</x:v>
      </x:c>
      <x:c r="I928" s="137" t="str">
        <x:v>NONPOSITIVE-MODEL-MARGIN</x:v>
      </x:c>
      <x:c r="J928" s="137" t="str">
        <x:v>V0.7-CONTROLLED-RESEARCH-SCREEN-NOT-DISTRIBUTION</x:v>
      </x:c>
    </x:row>
    <x:row r="929" ht="22" customHeight="1">
      <x:c r="A929" s="136" t="str">
        <x:v>SCR-0924</x:v>
      </x:c>
      <x:c r="B929" s="143" t="n">
        <x:v>0.000001123076923076923</x:v>
      </x:c>
      <x:c r="C929" s="143" t="n">
        <x:v>0.009153846153846155</x:v>
      </x:c>
      <x:c r="D929" s="161" t="n">
        <x:v>1</x:v>
      </x:c>
      <x:c r="E929" s="163" t="n">
        <x:v>-2732.6994908107</x:v>
      </x:c>
      <x:c r="F929" s="163" t="n">
        <x:v>0</x:v>
      </x:c>
      <x:c r="G929" s="145" t="n">
        <x:v>0.02664375976627415</x:v>
      </x:c>
      <x:c r="H929" s="145" t="n">
        <x:v>0.5</x:v>
      </x:c>
      <x:c r="I929" s="136" t="str">
        <x:v>NONPOSITIVE-MODEL-MARGIN</x:v>
      </x:c>
      <x:c r="J929" s="136" t="str">
        <x:v>V0.7-CONTROLLED-RESEARCH-SCREEN-NOT-DISTRIBUTION</x:v>
      </x:c>
    </x:row>
    <x:row r="930" ht="22" customHeight="1">
      <x:c r="A930" s="137" t="str">
        <x:v>SCR-0925</x:v>
      </x:c>
      <x:c r="B930" s="142" t="n">
        <x:v>0.000001123076923076923</x:v>
      </x:c>
      <x:c r="C930" s="142" t="n">
        <x:v>0.009461538461538462</x:v>
      </x:c>
      <x:c r="D930" s="160" t="n">
        <x:v>1</x:v>
      </x:c>
      <x:c r="E930" s="162" t="n">
        <x:v>-2754.3353996734745</x:v>
      </x:c>
      <x:c r="F930" s="162" t="n">
        <x:v>0</x:v>
      </x:c>
      <x:c r="G930" s="144" t="n">
        <x:v>0.02694048932138921</x:v>
      </x:c>
      <x:c r="H930" s="144" t="n">
        <x:v>0.5</x:v>
      </x:c>
      <x:c r="I930" s="137" t="str">
        <x:v>NONPOSITIVE-MODEL-MARGIN</x:v>
      </x:c>
      <x:c r="J930" s="137" t="str">
        <x:v>V0.7-CONTROLLED-RESEARCH-SCREEN-NOT-DISTRIBUTION</x:v>
      </x:c>
    </x:row>
    <x:row r="931" ht="22" customHeight="1">
      <x:c r="A931" s="136" t="str">
        <x:v>SCR-0926</x:v>
      </x:c>
      <x:c r="B931" s="143" t="n">
        <x:v>0.000001123076923076923</x:v>
      </x:c>
      <x:c r="C931" s="143" t="n">
        <x:v>0.00976923076923077</x:v>
      </x:c>
      <x:c r="D931" s="161" t="n">
        <x:v>1</x:v>
      </x:c>
      <x:c r="E931" s="163" t="n">
        <x:v>-2772.3212852600504</x:v>
      </x:c>
      <x:c r="F931" s="163" t="n">
        <x:v>0</x:v>
      </x:c>
      <x:c r="G931" s="145" t="n">
        <x:v>0.027237218876504272</x:v>
      </x:c>
      <x:c r="H931" s="145" t="n">
        <x:v>0.5</x:v>
      </x:c>
      <x:c r="I931" s="136" t="str">
        <x:v>NONPOSITIVE-MODEL-MARGIN</x:v>
      </x:c>
      <x:c r="J931" s="136" t="str">
        <x:v>V0.7-CONTROLLED-RESEARCH-SCREEN-NOT-DISTRIBUTION</x:v>
      </x:c>
    </x:row>
    <x:row r="932" ht="22" customHeight="1">
      <x:c r="A932" s="137" t="str">
        <x:v>SCR-0927</x:v>
      </x:c>
      <x:c r="B932" s="142" t="n">
        <x:v>0.000001123076923076923</x:v>
      </x:c>
      <x:c r="C932" s="142" t="n">
        <x:v>0.010076923076923077</x:v>
      </x:c>
      <x:c r="D932" s="160" t="n">
        <x:v>1</x:v>
      </x:c>
      <x:c r="E932" s="162" t="n">
        <x:v>-2790.255773906247</x:v>
      </x:c>
      <x:c r="F932" s="162" t="n">
        <x:v>0</x:v>
      </x:c>
      <x:c r="G932" s="144" t="n">
        <x:v>0.02753394843161933</x:v>
      </x:c>
      <x:c r="H932" s="144" t="n">
        <x:v>0.5</x:v>
      </x:c>
      <x:c r="I932" s="137" t="str">
        <x:v>NONPOSITIVE-MODEL-MARGIN</x:v>
      </x:c>
      <x:c r="J932" s="137" t="str">
        <x:v>V0.7-CONTROLLED-RESEARCH-SCREEN-NOT-DISTRIBUTION</x:v>
      </x:c>
    </x:row>
    <x:row r="933" ht="22" customHeight="1">
      <x:c r="A933" s="136" t="str">
        <x:v>SCR-0928</x:v>
      </x:c>
      <x:c r="B933" s="143" t="n">
        <x:v>0.000001123076923076923</x:v>
      </x:c>
      <x:c r="C933" s="143" t="n">
        <x:v>0.010384615384615384</x:v>
      </x:c>
      <x:c r="D933" s="161" t="n">
        <x:v>1</x:v>
      </x:c>
      <x:c r="E933" s="163" t="n">
        <x:v>-2808.1392898621975</x:v>
      </x:c>
      <x:c r="F933" s="163" t="n">
        <x:v>0</x:v>
      </x:c>
      <x:c r="G933" s="145" t="n">
        <x:v>0.027830677986734387</x:v>
      </x:c>
      <x:c r="H933" s="145" t="n">
        <x:v>0.5</x:v>
      </x:c>
      <x:c r="I933" s="136" t="str">
        <x:v>NONPOSITIVE-MODEL-MARGIN</x:v>
      </x:c>
      <x:c r="J933" s="136" t="str">
        <x:v>V0.7-CONTROLLED-RESEARCH-SCREEN-NOT-DISTRIBUTION</x:v>
      </x:c>
    </x:row>
    <x:row r="934" ht="22" customHeight="1">
      <x:c r="A934" s="137" t="str">
        <x:v>SCR-0929</x:v>
      </x:c>
      <x:c r="B934" s="142" t="n">
        <x:v>0.000001123076923076923</x:v>
      </x:c>
      <x:c r="C934" s="142" t="n">
        <x:v>0.010692307692307692</x:v>
      </x:c>
      <x:c r="D934" s="160" t="n">
        <x:v>1</x:v>
      </x:c>
      <x:c r="E934" s="162" t="n">
        <x:v>-2825.9722506103612</x:v>
      </x:c>
      <x:c r="F934" s="162" t="n">
        <x:v>0</x:v>
      </x:c>
      <x:c r="G934" s="144" t="n">
        <x:v>0.028127407541849447</x:v>
      </x:c>
      <x:c r="H934" s="144" t="n">
        <x:v>0.5</x:v>
      </x:c>
      <x:c r="I934" s="137" t="str">
        <x:v>NONPOSITIVE-MODEL-MARGIN</x:v>
      </x:c>
      <x:c r="J934" s="137" t="str">
        <x:v>V0.7-CONTROLLED-RESEARCH-SCREEN-NOT-DISTRIBUTION</x:v>
      </x:c>
    </x:row>
    <x:row r="935" ht="22" customHeight="1">
      <x:c r="A935" s="136" t="str">
        <x:v>SCR-0930</x:v>
      </x:c>
      <x:c r="B935" s="143" t="n">
        <x:v>0.000001123076923076923</x:v>
      </x:c>
      <x:c r="C935" s="143" t="n">
        <x:v>0.011</x:v>
      </x:c>
      <x:c r="D935" s="161" t="n">
        <x:v>1</x:v>
      </x:c>
      <x:c r="E935" s="163" t="n">
        <x:v>-2843.7550670078895</x:v>
      </x:c>
      <x:c r="F935" s="163" t="n">
        <x:v>0</x:v>
      </x:c>
      <x:c r="G935" s="145" t="n">
        <x:v>0.02842413709696451</x:v>
      </x:c>
      <x:c r="H935" s="145" t="n">
        <x:v>0.5</x:v>
      </x:c>
      <x:c r="I935" s="136" t="str">
        <x:v>NONPOSITIVE-MODEL-MARGIN</x:v>
      </x:c>
      <x:c r="J935" s="136" t="str">
        <x:v>V0.7-CONTROLLED-RESEARCH-SCREEN-NOT-DISTRIBUTION</x:v>
      </x:c>
    </x:row>
    <x:row r="936" ht="22" customHeight="1">
      <x:c r="A936" s="137" t="str">
        <x:v>SCR-0931</x:v>
      </x:c>
      <x:c r="B936" s="142" t="n">
        <x:v>0.000001123076923076923</x:v>
      </x:c>
      <x:c r="C936" s="142" t="n">
        <x:v>0.011307692307692307</x:v>
      </x:c>
      <x:c r="D936" s="160" t="n">
        <x:v>1</x:v>
      </x:c>
      <x:c r="E936" s="162" t="n">
        <x:v>-2861.4881434260196</x:v>
      </x:c>
      <x:c r="F936" s="162" t="n">
        <x:v>0</x:v>
      </x:c>
      <x:c r="G936" s="144" t="n">
        <x:v>0.02872086665207957</x:v>
      </x:c>
      <x:c r="H936" s="144" t="n">
        <x:v>0.5</x:v>
      </x:c>
      <x:c r="I936" s="137" t="str">
        <x:v>NONPOSITIVE-MODEL-MARGIN</x:v>
      </x:c>
      <x:c r="J936" s="137" t="str">
        <x:v>V0.7-CONTROLLED-RESEARCH-SCREEN-NOT-DISTRIBUTION</x:v>
      </x:c>
    </x:row>
    <x:row r="937" ht="22" customHeight="1">
      <x:c r="A937" s="136" t="str">
        <x:v>SCR-0932</x:v>
      </x:c>
      <x:c r="B937" s="143" t="n">
        <x:v>0.000001123076923076923</x:v>
      </x:c>
      <x:c r="C937" s="143" t="n">
        <x:v>0.011615384615384614</x:v>
      </x:c>
      <x:c r="D937" s="161" t="n">
        <x:v>1</x:v>
      </x:c>
      <x:c r="E937" s="163" t="n">
        <x:v>-2879.1718778864624</x:v>
      </x:c>
      <x:c r="F937" s="163" t="n">
        <x:v>0</x:v>
      </x:c>
      <x:c r="G937" s="145" t="n">
        <x:v>0.029017596207194626</x:v>
      </x:c>
      <x:c r="H937" s="145" t="n">
        <x:v>0.5</x:v>
      </x:c>
      <x:c r="I937" s="136" t="str">
        <x:v>NONPOSITIVE-MODEL-MARGIN</x:v>
      </x:c>
      <x:c r="J937" s="136" t="str">
        <x:v>V0.7-CONTROLLED-RESEARCH-SCREEN-NOT-DISTRIBUTION</x:v>
      </x:c>
    </x:row>
    <x:row r="938" ht="22" customHeight="1">
      <x:c r="A938" s="137" t="str">
        <x:v>SCR-0933</x:v>
      </x:c>
      <x:c r="B938" s="142" t="n">
        <x:v>0.000001123076923076923</x:v>
      </x:c>
      <x:c r="C938" s="142" t="n">
        <x:v>0.011923076923076925</x:v>
      </x:c>
      <x:c r="D938" s="160" t="n">
        <x:v>1</x:v>
      </x:c>
      <x:c r="E938" s="162" t="n">
        <x:v>-2896.806662194845</x:v>
      </x:c>
      <x:c r="F938" s="162" t="n">
        <x:v>0</x:v>
      </x:c>
      <x:c r="G938" s="144" t="n">
        <x:v>0.029314325762309697</x:v>
      </x:c>
      <x:c r="H938" s="144" t="n">
        <x:v>0.5</x:v>
      </x:c>
      <x:c r="I938" s="137" t="str">
        <x:v>NONPOSITIVE-MODEL-MARGIN</x:v>
      </x:c>
      <x:c r="J938" s="137" t="str">
        <x:v>V0.7-CONTROLLED-RESEARCH-SCREEN-NOT-DISTRIBUTION</x:v>
      </x:c>
    </x:row>
    <x:row r="939" ht="22" customHeight="1">
      <x:c r="A939" s="136" t="str">
        <x:v>SCR-0934</x:v>
      </x:c>
      <x:c r="B939" s="143" t="n">
        <x:v>0.000001123076923076923</x:v>
      </x:c>
      <x:c r="C939" s="143" t="n">
        <x:v>0.012230769230769233</x:v>
      </x:c>
      <x:c r="D939" s="161" t="n">
        <x:v>1</x:v>
      </x:c>
      <x:c r="E939" s="163" t="n">
        <x:v>-2914.3928820712263</x:v>
      </x:c>
      <x:c r="F939" s="163" t="n">
        <x:v>0</x:v>
      </x:c>
      <x:c r="G939" s="145" t="n">
        <x:v>0.029611055317424747</x:v>
      </x:c>
      <x:c r="H939" s="145" t="n">
        <x:v>0.5</x:v>
      </x:c>
      <x:c r="I939" s="136" t="str">
        <x:v>NONPOSITIVE-MODEL-MARGIN</x:v>
      </x:c>
      <x:c r="J939" s="136" t="str">
        <x:v>V0.7-CONTROLLED-RESEARCH-SCREEN-NOT-DISTRIBUTION</x:v>
      </x:c>
    </x:row>
    <x:row r="940" ht="22" customHeight="1">
      <x:c r="A940" s="137" t="str">
        <x:v>SCR-0935</x:v>
      </x:c>
      <x:c r="B940" s="142" t="n">
        <x:v>0.000001123076923076923</x:v>
      </x:c>
      <x:c r="C940" s="142" t="n">
        <x:v>0.01253846153846154</x:v>
      </x:c>
      <x:c r="D940" s="160" t="n">
        <x:v>1</x:v>
      </x:c>
      <x:c r="E940" s="162" t="n">
        <x:v>-2931.9309172776525</x:v>
      </x:c>
      <x:c r="F940" s="162" t="n">
        <x:v>0</x:v>
      </x:c>
      <x:c r="G940" s="144" t="n">
        <x:v>0.029907784872539814</x:v>
      </x:c>
      <x:c r="H940" s="144" t="n">
        <x:v>0.5</x:v>
      </x:c>
      <x:c r="I940" s="137" t="str">
        <x:v>NONPOSITIVE-MODEL-MARGIN</x:v>
      </x:c>
      <x:c r="J940" s="137" t="str">
        <x:v>V0.7-CONTROLLED-RESEARCH-SCREEN-NOT-DISTRIBUTION</x:v>
      </x:c>
    </x:row>
    <x:row r="941" ht="22" customHeight="1">
      <x:c r="A941" s="136" t="str">
        <x:v>SCR-0936</x:v>
      </x:c>
      <x:c r="B941" s="143" t="n">
        <x:v>0.000001123076923076923</x:v>
      </x:c>
      <x:c r="C941" s="143" t="n">
        <x:v>0.012846153846153847</x:v>
      </x:c>
      <x:c r="D941" s="161" t="n">
        <x:v>1</x:v>
      </x:c>
      <x:c r="E941" s="163" t="n">
        <x:v>-2949.4211417428637</x:v>
      </x:c>
      <x:c r="F941" s="163" t="n">
        <x:v>0</x:v>
      </x:c>
      <x:c r="G941" s="145" t="n">
        <x:v>0.03020451442765488</x:v>
      </x:c>
      <x:c r="H941" s="145" t="n">
        <x:v>0.5</x:v>
      </x:c>
      <x:c r="I941" s="136" t="str">
        <x:v>NONPOSITIVE-MODEL-MARGIN</x:v>
      </x:c>
      <x:c r="J941" s="136" t="str">
        <x:v>V0.7-CONTROLLED-RESEARCH-SCREEN-NOT-DISTRIBUTION</x:v>
      </x:c>
    </x:row>
    <x:row r="942" ht="22" customHeight="1">
      <x:c r="A942" s="137" t="str">
        <x:v>SCR-0937</x:v>
      </x:c>
      <x:c r="B942" s="142" t="n">
        <x:v>0.000001123076923076923</x:v>
      </x:c>
      <x:c r="C942" s="142" t="n">
        <x:v>0.013153846153846155</x:v>
      </x:c>
      <x:c r="D942" s="160" t="n">
        <x:v>1</x:v>
      </x:c>
      <x:c r="E942" s="162" t="n">
        <x:v>-2966.863923684135</x:v>
      </x:c>
      <x:c r="F942" s="162" t="n">
        <x:v>0</x:v>
      </x:c>
      <x:c r="G942" s="144" t="n">
        <x:v>0.030501243982769925</x:v>
      </x:c>
      <x:c r="H942" s="144" t="n">
        <x:v>0.5</x:v>
      </x:c>
      <x:c r="I942" s="137" t="str">
        <x:v>NONPOSITIVE-MODEL-MARGIN</x:v>
      </x:c>
      <x:c r="J942" s="137" t="str">
        <x:v>V0.7-CONTROLLED-RESEARCH-SCREEN-NOT-DISTRIBUTION</x:v>
      </x:c>
    </x:row>
    <x:row r="943" ht="22" customHeight="1">
      <x:c r="A943" s="136" t="str">
        <x:v>SCR-0938</x:v>
      </x:c>
      <x:c r="B943" s="143" t="n">
        <x:v>0.000001123076923076923</x:v>
      </x:c>
      <x:c r="C943" s="143" t="n">
        <x:v>0.013461538461538462</x:v>
      </x:c>
      <x:c r="D943" s="161" t="n">
        <x:v>1</x:v>
      </x:c>
      <x:c r="E943" s="163" t="n">
        <x:v>-2984.259625726287</x:v>
      </x:c>
      <x:c r="F943" s="163" t="n">
        <x:v>0</x:v>
      </x:c>
      <x:c r="G943" s="145" t="n">
        <x:v>0.030797973537884993</x:v>
      </x:c>
      <x:c r="H943" s="145" t="n">
        <x:v>0.5</x:v>
      </x:c>
      <x:c r="I943" s="136" t="str">
        <x:v>NONPOSITIVE-MODEL-MARGIN</x:v>
      </x:c>
      <x:c r="J943" s="136" t="str">
        <x:v>V0.7-CONTROLLED-RESEARCH-SCREEN-NOT-DISTRIBUTION</x:v>
      </x:c>
    </x:row>
    <x:row r="944" ht="22" customHeight="1">
      <x:c r="A944" s="137" t="str">
        <x:v>SCR-0939</x:v>
      </x:c>
      <x:c r="B944" s="142" t="n">
        <x:v>0.000001123076923076923</x:v>
      </x:c>
      <x:c r="C944" s="142" t="n">
        <x:v>0.01376923076923077</x:v>
      </x:c>
      <x:c r="D944" s="160" t="n">
        <x:v>1</x:v>
      </x:c>
      <x:c r="E944" s="162" t="n">
        <x:v>-3001.608605017955</x:v>
      </x:c>
      <x:c r="F944" s="162" t="n">
        <x:v>0</x:v>
      </x:c>
      <x:c r="G944" s="144" t="n">
        <x:v>0.031094703093000057</x:v>
      </x:c>
      <x:c r="H944" s="144" t="n">
        <x:v>0.5</x:v>
      </x:c>
      <x:c r="I944" s="137" t="str">
        <x:v>NONPOSITIVE-MODEL-MARGIN</x:v>
      </x:c>
      <x:c r="J944" s="137" t="str">
        <x:v>V0.7-CONTROLLED-RESEARCH-SCREEN-NOT-DISTRIBUTION</x:v>
      </x:c>
    </x:row>
    <x:row r="945" ht="22" customHeight="1">
      <x:c r="A945" s="136" t="str">
        <x:v>SCR-0940</x:v>
      </x:c>
      <x:c r="B945" s="143" t="n">
        <x:v>0.000001123076923076923</x:v>
      </x:c>
      <x:c r="C945" s="143" t="n">
        <x:v>0.014076923076923077</x:v>
      </x:c>
      <x:c r="D945" s="161" t="n">
        <x:v>1</x:v>
      </x:c>
      <x:c r="E945" s="163" t="n">
        <x:v>-3018.9112133451317</x:v>
      </x:c>
      <x:c r="F945" s="163" t="n">
        <x:v>0</x:v>
      </x:c>
      <x:c r="G945" s="145" t="n">
        <x:v>0.03139143264811512</x:v>
      </x:c>
      <x:c r="H945" s="145" t="n">
        <x:v>0.5</x:v>
      </x:c>
      <x:c r="I945" s="136" t="str">
        <x:v>NONPOSITIVE-MODEL-MARGIN</x:v>
      </x:c>
      <x:c r="J945" s="136" t="str">
        <x:v>V0.7-CONTROLLED-RESEARCH-SCREEN-NOT-DISTRIBUTION</x:v>
      </x:c>
    </x:row>
    <x:row r="946" ht="22" customHeight="1">
      <x:c r="A946" s="137" t="str">
        <x:v>SCR-0941</x:v>
      </x:c>
      <x:c r="B946" s="142" t="n">
        <x:v>0.000001123076923076923</x:v>
      </x:c>
      <x:c r="C946" s="142" t="n">
        <x:v>0.014384615384615385</x:v>
      </x:c>
      <x:c r="D946" s="160" t="n">
        <x:v>1</x:v>
      </x:c>
      <x:c r="E946" s="162" t="n">
        <x:v>-3036.1677972420343</x:v>
      </x:c>
      <x:c r="F946" s="162" t="n">
        <x:v>0</x:v>
      </x:c>
      <x:c r="G946" s="144" t="n">
        <x:v>0.03168816220323018</x:v>
      </x:c>
      <x:c r="H946" s="144" t="n">
        <x:v>0.5</x:v>
      </x:c>
      <x:c r="I946" s="137" t="str">
        <x:v>NONPOSITIVE-MODEL-MARGIN</x:v>
      </x:c>
      <x:c r="J946" s="137" t="str">
        <x:v>V0.7-CONTROLLED-RESEARCH-SCREEN-NOT-DISTRIBUTION</x:v>
      </x:c>
    </x:row>
    <x:row r="947" ht="22" customHeight="1">
      <x:c r="A947" s="136" t="str">
        <x:v>SCR-0942</x:v>
      </x:c>
      <x:c r="B947" s="143" t="n">
        <x:v>0.000001123076923076923</x:v>
      </x:c>
      <x:c r="C947" s="143" t="n">
        <x:v>0.014692307692307692</x:v>
      </x:c>
      <x:c r="D947" s="161" t="n">
        <x:v>1</x:v>
      </x:c>
      <x:c r="E947" s="163" t="n">
        <x:v>-3053.3786980993186</x:v>
      </x:c>
      <x:c r="F947" s="163" t="n">
        <x:v>0</x:v>
      </x:c>
      <x:c r="G947" s="145" t="n">
        <x:v>0.031984891758345235</x:v>
      </x:c>
      <x:c r="H947" s="145" t="n">
        <x:v>0.5</x:v>
      </x:c>
      <x:c r="I947" s="136" t="str">
        <x:v>NONPOSITIVE-MODEL-MARGIN</x:v>
      </x:c>
      <x:c r="J947" s="136" t="str">
        <x:v>V0.7-CONTROLLED-RESEARCH-SCREEN-NOT-DISTRIBUTION</x:v>
      </x:c>
    </x:row>
    <x:row r="948" ht="22" customHeight="1">
      <x:c r="A948" s="137" t="str">
        <x:v>SCR-0943</x:v>
      </x:c>
      <x:c r="B948" s="142" t="n">
        <x:v>0.000001123076923076923</x:v>
      </x:c>
      <x:c r="C948" s="142" t="n">
        <x:v>0.015</x:v>
      </x:c>
      <x:c r="D948" s="160" t="n">
        <x:v>1</x:v>
      </x:c>
      <x:c r="E948" s="162" t="n">
        <x:v>-3070.5442522697763</x:v>
      </x:c>
      <x:c r="F948" s="162" t="n">
        <x:v>0</x:v>
      </x:c>
      <x:c r="G948" s="144" t="n">
        <x:v>0.032281621313460296</x:v>
      </x:c>
      <x:c r="H948" s="144" t="n">
        <x:v>0.5</x:v>
      </x:c>
      <x:c r="I948" s="137" t="str">
        <x:v>NONPOSITIVE-MODEL-MARGIN</x:v>
      </x:c>
      <x:c r="J948" s="137" t="str">
        <x:v>V0.7-CONTROLLED-RESEARCH-SCREEN-NOT-DISTRIBUTION</x:v>
      </x:c>
    </x:row>
    <x:row r="949" ht="22" customHeight="1">
      <x:c r="A949" s="136" t="str">
        <x:v>SCR-0944</x:v>
      </x:c>
      <x:c r="B949" s="143" t="n">
        <x:v>0.0000011717948717948719</x:v>
      </x:c>
      <x:c r="C949" s="143" t="n">
        <x:v>0.003</x:v>
      </x:c>
      <x:c r="D949" s="161" t="n">
        <x:v>1</x:v>
      </x:c>
      <x:c r="E949" s="163" t="n">
        <x:v>-2404.775855046853</x:v>
      </x:c>
      <x:c r="F949" s="163" t="n">
        <x:v>0</x:v>
      </x:c>
      <x:c r="G949" s="145" t="n">
        <x:v>0.021428850741573652</x:v>
      </x:c>
      <x:c r="H949" s="145" t="n">
        <x:v>0.5</x:v>
      </x:c>
      <x:c r="I949" s="136" t="str">
        <x:v>NONPOSITIVE-MODEL-MARGIN</x:v>
      </x:c>
      <x:c r="J949" s="136" t="str">
        <x:v>V0.7-CONTROLLED-RESEARCH-SCREEN-NOT-DISTRIBUTION</x:v>
      </x:c>
    </x:row>
    <x:row r="950" ht="22" customHeight="1">
      <x:c r="A950" s="137" t="str">
        <x:v>SCR-0945</x:v>
      </x:c>
      <x:c r="B950" s="142" t="n">
        <x:v>0.0000011717948717948719</x:v>
      </x:c>
      <x:c r="C950" s="142" t="n">
        <x:v>0.003307692307692308</x:v>
      </x:c>
      <x:c r="D950" s="160" t="n">
        <x:v>1</x:v>
      </x:c>
      <x:c r="E950" s="162" t="n">
        <x:v>-2423.835583447024</x:v>
      </x:c>
      <x:c r="F950" s="162" t="n">
        <x:v>0</x:v>
      </x:c>
      <x:c r="G950" s="144" t="n">
        <x:v>0.021725134770118608</x:v>
      </x:c>
      <x:c r="H950" s="144" t="n">
        <x:v>0.5</x:v>
      </x:c>
      <x:c r="I950" s="137" t="str">
        <x:v>NONPOSITIVE-MODEL-MARGIN</x:v>
      </x:c>
      <x:c r="J950" s="137" t="str">
        <x:v>V0.7-CONTROLLED-RESEARCH-SCREEN-NOT-DISTRIBUTION</x:v>
      </x:c>
    </x:row>
    <x:row r="951" ht="22" customHeight="1">
      <x:c r="A951" s="136" t="str">
        <x:v>SCR-0946</x:v>
      </x:c>
      <x:c r="B951" s="143" t="n">
        <x:v>0.0000011717948717948719</x:v>
      </x:c>
      <x:c r="C951" s="143" t="n">
        <x:v>0.0036153846153846154</x:v>
      </x:c>
      <x:c r="D951" s="161" t="n">
        <x:v>1</x:v>
      </x:c>
      <x:c r="E951" s="163" t="n">
        <x:v>-2442.8342682458606</x:v>
      </x:c>
      <x:c r="F951" s="163" t="n">
        <x:v>0</x:v>
      </x:c>
      <x:c r="G951" s="145" t="n">
        <x:v>0.022021418798663556</x:v>
      </x:c>
      <x:c r="H951" s="145" t="n">
        <x:v>0.5</x:v>
      </x:c>
      <x:c r="I951" s="136" t="str">
        <x:v>NONPOSITIVE-MODEL-MARGIN</x:v>
      </x:c>
      <x:c r="J951" s="136" t="str">
        <x:v>V0.7-CONTROLLED-RESEARCH-SCREEN-NOT-DISTRIBUTION</x:v>
      </x:c>
    </x:row>
    <x:row r="952" ht="22" customHeight="1">
      <x:c r="A952" s="137" t="str">
        <x:v>SCR-0947</x:v>
      </x:c>
      <x:c r="B952" s="142" t="n">
        <x:v>0.0000011717948717948719</x:v>
      </x:c>
      <x:c r="C952" s="142" t="n">
        <x:v>0.003923076923076923</x:v>
      </x:c>
      <x:c r="D952" s="160" t="n">
        <x:v>1</x:v>
      </x:c>
      <x:c r="E952" s="162" t="n">
        <x:v>-2461.7724982738778</x:v>
      </x:c>
      <x:c r="F952" s="162" t="n">
        <x:v>0</x:v>
      </x:c>
      <x:c r="G952" s="144" t="n">
        <x:v>0.022317702827208512</x:v>
      </x:c>
      <x:c r="H952" s="144" t="n">
        <x:v>0.5</x:v>
      </x:c>
      <x:c r="I952" s="137" t="str">
        <x:v>NONPOSITIVE-MODEL-MARGIN</x:v>
      </x:c>
      <x:c r="J952" s="137" t="str">
        <x:v>V0.7-CONTROLLED-RESEARCH-SCREEN-NOT-DISTRIBUTION</x:v>
      </x:c>
    </x:row>
    <x:row r="953" ht="22" customHeight="1">
      <x:c r="A953" s="136" t="str">
        <x:v>SCR-0948</x:v>
      </x:c>
      <x:c r="B953" s="143" t="n">
        <x:v>0.0000011717948717948719</x:v>
      </x:c>
      <x:c r="C953" s="143" t="n">
        <x:v>0.004230769230769231</x:v>
      </x:c>
      <x:c r="D953" s="161" t="n">
        <x:v>1</x:v>
      </x:c>
      <x:c r="E953" s="163" t="n">
        <x:v>-2480.6508521254304</x:v>
      </x:c>
      <x:c r="F953" s="163" t="n">
        <x:v>0</x:v>
      </x:c>
      <x:c r="G953" s="145" t="n">
        <x:v>0.022613986855753464</x:v>
      </x:c>
      <x:c r="H953" s="145" t="n">
        <x:v>0.5</x:v>
      </x:c>
      <x:c r="I953" s="136" t="str">
        <x:v>NONPOSITIVE-MODEL-MARGIN</x:v>
      </x:c>
      <x:c r="J953" s="136" t="str">
        <x:v>V0.7-CONTROLLED-RESEARCH-SCREEN-NOT-DISTRIBUTION</x:v>
      </x:c>
    </x:row>
    <x:row r="954" ht="22" customHeight="1">
      <x:c r="A954" s="137" t="str">
        <x:v>SCR-0949</x:v>
      </x:c>
      <x:c r="B954" s="142" t="n">
        <x:v>0.0000011717948717948719</x:v>
      </x:c>
      <x:c r="C954" s="142" t="n">
        <x:v>0.004538461538461538</x:v>
      </x:c>
      <x:c r="D954" s="160" t="n">
        <x:v>1</x:v>
      </x:c>
      <x:c r="E954" s="162" t="n">
        <x:v>-2499.469898350969</x:v>
      </x:c>
      <x:c r="F954" s="162" t="n">
        <x:v>0</x:v>
      </x:c>
      <x:c r="G954" s="144" t="n">
        <x:v>0.022910270884298412</x:v>
      </x:c>
      <x:c r="H954" s="144" t="n">
        <x:v>0.5</x:v>
      </x:c>
      <x:c r="I954" s="137" t="str">
        <x:v>NONPOSITIVE-MODEL-MARGIN</x:v>
      </x:c>
      <x:c r="J954" s="137" t="str">
        <x:v>V0.7-CONTROLLED-RESEARCH-SCREEN-NOT-DISTRIBUTION</x:v>
      </x:c>
    </x:row>
    <x:row r="955" ht="22" customHeight="1">
      <x:c r="A955" s="136" t="str">
        <x:v>SCR-0950</x:v>
      </x:c>
      <x:c r="B955" s="143" t="n">
        <x:v>0.0000011717948717948719</x:v>
      </x:c>
      <x:c r="C955" s="143" t="n">
        <x:v>0.004846153846153846</x:v>
      </x:c>
      <x:c r="D955" s="161" t="n">
        <x:v>1</x:v>
      </x:c>
      <x:c r="E955" s="163" t="n">
        <x:v>-2518.23019564999</x:v>
      </x:c>
      <x:c r="F955" s="163" t="n">
        <x:v>0</x:v>
      </x:c>
      <x:c r="G955" s="145" t="n">
        <x:v>0.023206554912843368</x:v>
      </x:c>
      <x:c r="H955" s="145" t="n">
        <x:v>0.5</x:v>
      </x:c>
      <x:c r="I955" s="136" t="str">
        <x:v>NONPOSITIVE-MODEL-MARGIN</x:v>
      </x:c>
      <x:c r="J955" s="136" t="str">
        <x:v>V0.7-CONTROLLED-RESEARCH-SCREEN-NOT-DISTRIBUTION</x:v>
      </x:c>
    </x:row>
    <x:row r="956" ht="22" customHeight="1">
      <x:c r="A956" s="137" t="str">
        <x:v>SCR-0951</x:v>
      </x:c>
      <x:c r="B956" s="142" t="n">
        <x:v>0.0000011717948717948719</x:v>
      </x:c>
      <x:c r="C956" s="142" t="n">
        <x:v>0.005</x:v>
      </x:c>
      <x:c r="D956" s="160" t="n">
        <x:v>1</x:v>
      </x:c>
      <x:c r="E956" s="162" t="n">
        <x:v>-2527.588485399564</x:v>
      </x:c>
      <x:c r="F956" s="162" t="n">
        <x:v>0</x:v>
      </x:c>
      <x:c r="G956" s="144" t="n">
        <x:v>0.023354696927115844</x:v>
      </x:c>
      <x:c r="H956" s="144" t="n">
        <x:v>0.5</x:v>
      </x:c>
      <x:c r="I956" s="137" t="str">
        <x:v>NONPOSITIVE-MODEL-MARGIN</x:v>
      </x:c>
      <x:c r="J956" s="137" t="str">
        <x:v>V0.7-CONTROLLED-RESEARCH-SCREEN-NOT-DISTRIBUTION</x:v>
      </x:c>
    </x:row>
    <x:row r="957" ht="22" customHeight="1">
      <x:c r="A957" s="136" t="str">
        <x:v>SCR-0952</x:v>
      </x:c>
      <x:c r="B957" s="143" t="n">
        <x:v>0.0000011717948717948719</x:v>
      </x:c>
      <x:c r="C957" s="143" t="n">
        <x:v>0.005153846153846154</x:v>
      </x:c>
      <x:c r="D957" s="161" t="n">
        <x:v>1</x:v>
      </x:c>
      <x:c r="E957" s="163" t="n">
        <x:v>-2540.6591436873314</x:v>
      </x:c>
      <x:c r="F957" s="163" t="n">
        <x:v>0</x:v>
      </x:c>
      <x:c r="G957" s="145" t="n">
        <x:v>0.02350283894138832</x:v>
      </x:c>
      <x:c r="H957" s="145" t="n">
        <x:v>0.5</x:v>
      </x:c>
      <x:c r="I957" s="136" t="str">
        <x:v>NONPOSITIVE-MODEL-MARGIN</x:v>
      </x:c>
      <x:c r="J957" s="136" t="str">
        <x:v>V0.7-CONTROLLED-RESEARCH-SCREEN-NOT-DISTRIBUTION</x:v>
      </x:c>
    </x:row>
    <x:row r="958" ht="22" customHeight="1">
      <x:c r="A958" s="137" t="str">
        <x:v>SCR-0953</x:v>
      </x:c>
      <x:c r="B958" s="142" t="n">
        <x:v>0.0000011717948717948719</x:v>
      </x:c>
      <x:c r="C958" s="142" t="n">
        <x:v>0.005461538461538462</x:v>
      </x:c>
      <x:c r="D958" s="160" t="n">
        <x:v>1</x:v>
      </x:c>
      <x:c r="E958" s="162" t="n">
        <x:v>-2559.2907498215977</x:v>
      </x:c>
      <x:c r="F958" s="162" t="n">
        <x:v>0</x:v>
      </x:c>
      <x:c r="G958" s="144" t="n">
        <x:v>0.02379912296993327</x:v>
      </x:c>
      <x:c r="H958" s="144" t="n">
        <x:v>0.5</x:v>
      </x:c>
      <x:c r="I958" s="137" t="str">
        <x:v>NONPOSITIVE-MODEL-MARGIN</x:v>
      </x:c>
      <x:c r="J958" s="137" t="str">
        <x:v>V0.7-CONTROLLED-RESEARCH-SCREEN-NOT-DISTRIBUTION</x:v>
      </x:c>
    </x:row>
    <x:row r="959" ht="22" customHeight="1">
      <x:c r="A959" s="136" t="str">
        <x:v>SCR-0954</x:v>
      </x:c>
      <x:c r="B959" s="143" t="n">
        <x:v>0.0000011717948717948719</x:v>
      </x:c>
      <x:c r="C959" s="143" t="n">
        <x:v>0.0057692307692307696</x:v>
      </x:c>
      <x:c r="D959" s="161" t="n">
        <x:v>1</x:v>
      </x:c>
      <x:c r="E959" s="163" t="n">
        <x:v>-2577.865380856245</x:v>
      </x:c>
      <x:c r="F959" s="163" t="n">
        <x:v>0</x:v>
      </x:c>
      <x:c r="G959" s="145" t="n">
        <x:v>0.024095406998478223</x:v>
      </x:c>
      <x:c r="H959" s="145" t="n">
        <x:v>0.5</x:v>
      </x:c>
      <x:c r="I959" s="136" t="str">
        <x:v>NONPOSITIVE-MODEL-MARGIN</x:v>
      </x:c>
      <x:c r="J959" s="136" t="str">
        <x:v>V0.7-CONTROLLED-RESEARCH-SCREEN-NOT-DISTRIBUTION</x:v>
      </x:c>
    </x:row>
    <x:row r="960" ht="22" customHeight="1">
      <x:c r="A960" s="137" t="str">
        <x:v>SCR-0955</x:v>
      </x:c>
      <x:c r="B960" s="142" t="n">
        <x:v>0.0000011717948717948719</x:v>
      </x:c>
      <x:c r="C960" s="142" t="n">
        <x:v>0.006076923076923077</x:v>
      </x:c>
      <x:c r="D960" s="160" t="n">
        <x:v>1</x:v>
      </x:c>
      <x:c r="E960" s="162" t="n">
        <x:v>-2596.3835542208035</x:v>
      </x:c>
      <x:c r="F960" s="162" t="n">
        <x:v>0</x:v>
      </x:c>
      <x:c r="G960" s="144" t="n">
        <x:v>0.024391691027023182</x:v>
      </x:c>
      <x:c r="H960" s="144" t="n">
        <x:v>0.5</x:v>
      </x:c>
      <x:c r="I960" s="137" t="str">
        <x:v>NONPOSITIVE-MODEL-MARGIN</x:v>
      </x:c>
      <x:c r="J960" s="137" t="str">
        <x:v>V0.7-CONTROLLED-RESEARCH-SCREEN-NOT-DISTRIBUTION</x:v>
      </x:c>
    </x:row>
    <x:row r="961" ht="22" customHeight="1">
      <x:c r="A961" s="136" t="str">
        <x:v>SCR-0956</x:v>
      </x:c>
      <x:c r="B961" s="143" t="n">
        <x:v>0.0000011717948717948719</x:v>
      </x:c>
      <x:c r="C961" s="143" t="n">
        <x:v>0.006384615384615384</x:v>
      </x:c>
      <x:c r="D961" s="161" t="n">
        <x:v>1</x:v>
      </x:c>
      <x:c r="E961" s="163" t="n">
        <x:v>-2614.8457785859123</x:v>
      </x:c>
      <x:c r="F961" s="163" t="n">
        <x:v>0</x:v>
      </x:c>
      <x:c r="G961" s="145" t="n">
        <x:v>0.024687975055568134</x:v>
      </x:c>
      <x:c r="H961" s="145" t="n">
        <x:v>0.5</x:v>
      </x:c>
      <x:c r="I961" s="136" t="str">
        <x:v>NONPOSITIVE-MODEL-MARGIN</x:v>
      </x:c>
      <x:c r="J961" s="136" t="str">
        <x:v>V0.7-CONTROLLED-RESEARCH-SCREEN-NOT-DISTRIBUTION</x:v>
      </x:c>
    </x:row>
    <x:row r="962" ht="22" customHeight="1">
      <x:c r="A962" s="137" t="str">
        <x:v>SCR-0957</x:v>
      </x:c>
      <x:c r="B962" s="142" t="n">
        <x:v>0.0000011717948717948719</x:v>
      </x:c>
      <x:c r="C962" s="142" t="n">
        <x:v>0.006692307692307693</x:v>
      </x:c>
      <x:c r="D962" s="160" t="n">
        <x:v>1</x:v>
      </x:c>
      <x:c r="E962" s="162" t="n">
        <x:v>-2633.2525540424776</x:v>
      </x:c>
      <x:c r="F962" s="162" t="n">
        <x:v>0</x:v>
      </x:c>
      <x:c r="G962" s="144" t="n">
        <x:v>0.024984259084113083</x:v>
      </x:c>
      <x:c r="H962" s="144" t="n">
        <x:v>0.5</x:v>
      </x:c>
      <x:c r="I962" s="137" t="str">
        <x:v>NONPOSITIVE-MODEL-MARGIN</x:v>
      </x:c>
      <x:c r="J962" s="137" t="str">
        <x:v>V0.7-CONTROLLED-RESEARCH-SCREEN-NOT-DISTRIBUTION</x:v>
      </x:c>
    </x:row>
    <x:row r="963" ht="22" customHeight="1">
      <x:c r="A963" s="136" t="str">
        <x:v>SCR-0958</x:v>
      </x:c>
      <x:c r="B963" s="143" t="n">
        <x:v>0.0000011717948717948719</x:v>
      </x:c>
      <x:c r="C963" s="143" t="n">
        <x:v>0.007</x:v>
      </x:c>
      <x:c r="D963" s="161" t="n">
        <x:v>1</x:v>
      </x:c>
      <x:c r="E963" s="163" t="n">
        <x:v>-2651.60437227875</x:v>
      </x:c>
      <x:c r="F963" s="163" t="n">
        <x:v>0</x:v>
      </x:c>
      <x:c r="G963" s="145" t="n">
        <x:v>0.02528054311265803</x:v>
      </x:c>
      <x:c r="H963" s="145" t="n">
        <x:v>0.5</x:v>
      </x:c>
      <x:c r="I963" s="136" t="str">
        <x:v>NONPOSITIVE-MODEL-MARGIN</x:v>
      </x:c>
      <x:c r="J963" s="136" t="str">
        <x:v>V0.7-CONTROLLED-RESEARCH-SCREEN-NOT-DISTRIBUTION</x:v>
      </x:c>
    </x:row>
    <x:row r="964" ht="22" customHeight="1">
      <x:c r="A964" s="137" t="str">
        <x:v>SCR-0959</x:v>
      </x:c>
      <x:c r="B964" s="142" t="n">
        <x:v>0.0000011717948717948719</x:v>
      </x:c>
      <x:c r="C964" s="142" t="n">
        <x:v>0.007307692307692308</x:v>
      </x:c>
      <x:c r="D964" s="160" t="n">
        <x:v>1</x:v>
      </x:c>
      <x:c r="E964" s="162" t="n">
        <x:v>-2669.9017167550246</x:v>
      </x:c>
      <x:c r="F964" s="162" t="n">
        <x:v>0</x:v>
      </x:c>
      <x:c r="G964" s="144" t="n">
        <x:v>0.025576827141202987</x:v>
      </x:c>
      <x:c r="H964" s="144" t="n">
        <x:v>0.5</x:v>
      </x:c>
      <x:c r="I964" s="137" t="str">
        <x:v>NONPOSITIVE-MODEL-MARGIN</x:v>
      </x:c>
      <x:c r="J964" s="137" t="str">
        <x:v>V0.7-CONTROLLED-RESEARCH-SCREEN-NOT-DISTRIBUTION</x:v>
      </x:c>
    </x:row>
    <x:row r="965" ht="22" customHeight="1">
      <x:c r="A965" s="136" t="str">
        <x:v>SCR-0960</x:v>
      </x:c>
      <x:c r="B965" s="143" t="n">
        <x:v>0.0000011717948717948719</x:v>
      </x:c>
      <x:c r="C965" s="143" t="n">
        <x:v>0.007615384615384616</x:v>
      </x:c>
      <x:c r="D965" s="161" t="n">
        <x:v>1</x:v>
      </x:c>
      <x:c r="E965" s="163" t="n">
        <x:v>-2688.1450628757384</x:v>
      </x:c>
      <x:c r="F965" s="163" t="n">
        <x:v>0</x:v>
      </x:c>
      <x:c r="G965" s="145" t="n">
        <x:v>0.025873111169747942</x:v>
      </x:c>
      <x:c r="H965" s="145" t="n">
        <x:v>0.5</x:v>
      </x:c>
      <x:c r="I965" s="136" t="str">
        <x:v>NONPOSITIVE-MODEL-MARGIN</x:v>
      </x:c>
      <x:c r="J965" s="136" t="str">
        <x:v>V0.7-CONTROLLED-RESEARCH-SCREEN-NOT-DISTRIBUTION</x:v>
      </x:c>
    </x:row>
    <x:row r="966" ht="22" customHeight="1">
      <x:c r="A966" s="137" t="str">
        <x:v>SCR-0961</x:v>
      </x:c>
      <x:c r="B966" s="142" t="n">
        <x:v>0.0000011717948717948719</x:v>
      </x:c>
      <x:c r="C966" s="142" t="n">
        <x:v>0.007923076923076923</x:v>
      </x:c>
      <x:c r="D966" s="160" t="n">
        <x:v>1</x:v>
      </x:c>
      <x:c r="E966" s="162" t="n">
        <x:v>-2706.334878158895</x:v>
      </x:c>
      <x:c r="F966" s="162" t="n">
        <x:v>0</x:v>
      </x:c>
      <x:c r="G966" s="144" t="n">
        <x:v>0.02616939519829289</x:v>
      </x:c>
      <x:c r="H966" s="144" t="n">
        <x:v>0.5</x:v>
      </x:c>
      <x:c r="I966" s="137" t="str">
        <x:v>NONPOSITIVE-MODEL-MARGIN</x:v>
      </x:c>
      <x:c r="J966" s="137" t="str">
        <x:v>V0.7-CONTROLLED-RESEARCH-SCREEN-NOT-DISTRIBUTION</x:v>
      </x:c>
    </x:row>
    <x:row r="967" ht="22" customHeight="1">
      <x:c r="A967" s="136" t="str">
        <x:v>SCR-0962</x:v>
      </x:c>
      <x:c r="B967" s="143" t="n">
        <x:v>0.0000011717948717948719</x:v>
      </x:c>
      <x:c r="C967" s="143" t="n">
        <x:v>0.00823076923076923</x:v>
      </x:c>
      <x:c r="D967" s="161" t="n">
        <x:v>1</x:v>
      </x:c>
      <x:c r="E967" s="163" t="n">
        <x:v>-2728.076706711746</x:v>
      </x:c>
      <x:c r="F967" s="163" t="n">
        <x:v>0</x:v>
      </x:c>
      <x:c r="G967" s="145" t="n">
        <x:v>0.026465679226837853</x:v>
      </x:c>
      <x:c r="H967" s="145" t="n">
        <x:v>0.5</x:v>
      </x:c>
      <x:c r="I967" s="136" t="str">
        <x:v>NONPOSITIVE-MODEL-MARGIN</x:v>
      </x:c>
      <x:c r="J967" s="136" t="str">
        <x:v>V0.7-CONTROLLED-RESEARCH-SCREEN-NOT-DISTRIBUTION</x:v>
      </x:c>
    </x:row>
    <x:row r="968" ht="22" customHeight="1">
      <x:c r="A968" s="137" t="str">
        <x:v>SCR-0963</x:v>
      </x:c>
      <x:c r="B968" s="142" t="n">
        <x:v>0.0000011717948717948719</x:v>
      </x:c>
      <x:c r="C968" s="142" t="n">
        <x:v>0.00853846153846154</x:v>
      </x:c>
      <x:c r="D968" s="160" t="n">
        <x:v>1</x:v>
      </x:c>
      <x:c r="E968" s="162" t="n">
        <x:v>-2746.1493949451074</x:v>
      </x:c>
      <x:c r="F968" s="162" t="n">
        <x:v>0</x:v>
      </x:c>
      <x:c r="G968" s="144" t="n">
        <x:v>0.0267619632553828</x:v>
      </x:c>
      <x:c r="H968" s="144" t="n">
        <x:v>0.5</x:v>
      </x:c>
      <x:c r="I968" s="137" t="str">
        <x:v>NONPOSITIVE-MODEL-MARGIN</x:v>
      </x:c>
      <x:c r="J968" s="137" t="str">
        <x:v>V0.7-CONTROLLED-RESEARCH-SCREEN-NOT-DISTRIBUTION</x:v>
      </x:c>
    </x:row>
    <x:row r="969" ht="22" customHeight="1">
      <x:c r="A969" s="136" t="str">
        <x:v>SCR-0964</x:v>
      </x:c>
      <x:c r="B969" s="143" t="n">
        <x:v>0.0000011717948717948719</x:v>
      </x:c>
      <x:c r="C969" s="143" t="n">
        <x:v>0.008846153846153847</x:v>
      </x:c>
      <x:c r="D969" s="161" t="n">
        <x:v>1</x:v>
      </x:c>
      <x:c r="E969" s="163" t="n">
        <x:v>-2764.1700317105183</x:v>
      </x:c>
      <x:c r="F969" s="163" t="n">
        <x:v>0</x:v>
      </x:c>
      <x:c r="G969" s="145" t="n">
        <x:v>0.027058247283927746</x:v>
      </x:c>
      <x:c r="H969" s="145" t="n">
        <x:v>0.5</x:v>
      </x:c>
      <x:c r="I969" s="136" t="str">
        <x:v>NONPOSITIVE-MODEL-MARGIN</x:v>
      </x:c>
      <x:c r="J969" s="136" t="str">
        <x:v>V0.7-CONTROLLED-RESEARCH-SCREEN-NOT-DISTRIBUTION</x:v>
      </x:c>
    </x:row>
    <x:row r="970" ht="22" customHeight="1">
      <x:c r="A970" s="137" t="str">
        <x:v>SCR-0965</x:v>
      </x:c>
      <x:c r="B970" s="142" t="n">
        <x:v>0.0000011717948717948719</x:v>
      </x:c>
      <x:c r="C970" s="142" t="n">
        <x:v>0.009153846153846155</x:v>
      </x:c>
      <x:c r="D970" s="160" t="n">
        <x:v>1</x:v>
      </x:c>
      <x:c r="E970" s="162" t="n">
        <x:v>-2782.139051945573</x:v>
      </x:c>
      <x:c r="F970" s="162" t="n">
        <x:v>0</x:v>
      </x:c>
      <x:c r="G970" s="144" t="n">
        <x:v>0.027354531312472702</x:v>
      </x:c>
      <x:c r="H970" s="144" t="n">
        <x:v>0.5</x:v>
      </x:c>
      <x:c r="I970" s="137" t="str">
        <x:v>NONPOSITIVE-MODEL-MARGIN</x:v>
      </x:c>
      <x:c r="J970" s="137" t="str">
        <x:v>V0.7-CONTROLLED-RESEARCH-SCREEN-NOT-DISTRIBUTION</x:v>
      </x:c>
    </x:row>
    <x:row r="971" ht="22" customHeight="1">
      <x:c r="A971" s="136" t="str">
        <x:v>SCR-0966</x:v>
      </x:c>
      <x:c r="B971" s="143" t="n">
        <x:v>0.0000011717948717948719</x:v>
      </x:c>
      <x:c r="C971" s="143" t="n">
        <x:v>0.009461538461538462</x:v>
      </x:c>
      <x:c r="D971" s="161" t="n">
        <x:v>1</x:v>
      </x:c>
      <x:c r="E971" s="163" t="n">
        <x:v>-2800.05688358999</x:v>
      </x:c>
      <x:c r="F971" s="163" t="n">
        <x:v>0</x:v>
      </x:c>
      <x:c r="G971" s="145" t="n">
        <x:v>0.027650815341017657</x:v>
      </x:c>
      <x:c r="H971" s="145" t="n">
        <x:v>0.5</x:v>
      </x:c>
      <x:c r="I971" s="136" t="str">
        <x:v>NONPOSITIVE-MODEL-MARGIN</x:v>
      </x:c>
      <x:c r="J971" s="136" t="str">
        <x:v>V0.7-CONTROLLED-RESEARCH-SCREEN-NOT-DISTRIBUTION</x:v>
      </x:c>
    </x:row>
    <x:row r="972" ht="22" customHeight="1">
      <x:c r="A972" s="137" t="str">
        <x:v>SCR-0967</x:v>
      </x:c>
      <x:c r="B972" s="142" t="n">
        <x:v>0.0000011717948717948719</x:v>
      </x:c>
      <x:c r="C972" s="142" t="n">
        <x:v>0.00976923076923077</x:v>
      </x:c>
      <x:c r="D972" s="160" t="n">
        <x:v>1</x:v>
      </x:c>
      <x:c r="E972" s="162" t="n">
        <x:v>-2817.923947732964</x:v>
      </x:c>
      <x:c r="F972" s="162" t="n">
        <x:v>0</x:v>
      </x:c>
      <x:c r="G972" s="144" t="n">
        <x:v>0.027947099369562606</x:v>
      </x:c>
      <x:c r="H972" s="144" t="n">
        <x:v>0.5</x:v>
      </x:c>
      <x:c r="I972" s="137" t="str">
        <x:v>NONPOSITIVE-MODEL-MARGIN</x:v>
      </x:c>
      <x:c r="J972" s="137" t="str">
        <x:v>V0.7-CONTROLLED-RESEARCH-SCREEN-NOT-DISTRIBUTION</x:v>
      </x:c>
    </x:row>
    <x:row r="973" ht="22" customHeight="1">
      <x:c r="A973" s="136" t="str">
        <x:v>SCR-0968</x:v>
      </x:c>
      <x:c r="B973" s="143" t="n">
        <x:v>0.0000011717948717948719</x:v>
      </x:c>
      <x:c r="C973" s="143" t="n">
        <x:v>0.010076923076923077</x:v>
      </x:c>
      <x:c r="D973" s="161" t="n">
        <x:v>1</x:v>
      </x:c>
      <x:c r="E973" s="163" t="n">
        <x:v>-2835.7406587576065</x:v>
      </x:c>
      <x:c r="F973" s="163" t="n">
        <x:v>0</x:v>
      </x:c>
      <x:c r="G973" s="145" t="n">
        <x:v>0.02824338339810756</x:v>
      </x:c>
      <x:c r="H973" s="145" t="n">
        <x:v>0.5</x:v>
      </x:c>
      <x:c r="I973" s="136" t="str">
        <x:v>NONPOSITIVE-MODEL-MARGIN</x:v>
      </x:c>
      <x:c r="J973" s="136" t="str">
        <x:v>V0.7-CONTROLLED-RESEARCH-SCREEN-NOT-DISTRIBUTION</x:v>
      </x:c>
    </x:row>
    <x:row r="974" ht="22" customHeight="1">
      <x:c r="A974" s="137" t="str">
        <x:v>SCR-0969</x:v>
      </x:c>
      <x:c r="B974" s="142" t="n">
        <x:v>0.0000011717948717948719</x:v>
      </x:c>
      <x:c r="C974" s="142" t="n">
        <x:v>0.010384615384615384</x:v>
      </x:c>
      <x:c r="D974" s="160" t="n">
        <x:v>1</x:v>
      </x:c>
      <x:c r="E974" s="162" t="n">
        <x:v>-2853.507424482307</x:v>
      </x:c>
      <x:c r="F974" s="162" t="n">
        <x:v>0</x:v>
      </x:c>
      <x:c r="G974" s="144" t="n">
        <x:v>0.028539667426652517</x:v>
      </x:c>
      <x:c r="H974" s="144" t="n">
        <x:v>0.5</x:v>
      </x:c>
      <x:c r="I974" s="137" t="str">
        <x:v>NONPOSITIVE-MODEL-MARGIN</x:v>
      </x:c>
      <x:c r="J974" s="137" t="str">
        <x:v>V0.7-CONTROLLED-RESEARCH-SCREEN-NOT-DISTRIBUTION</x:v>
      </x:c>
    </x:row>
    <x:row r="975" ht="22" customHeight="1">
      <x:c r="A975" s="136" t="str">
        <x:v>SCR-0970</x:v>
      </x:c>
      <x:c r="B975" s="143" t="n">
        <x:v>0.0000011717948717948719</x:v>
      </x:c>
      <x:c r="C975" s="143" t="n">
        <x:v>0.010692307692307692</x:v>
      </x:c>
      <x:c r="D975" s="161" t="n">
        <x:v>1</x:v>
      </x:c>
      <x:c r="E975" s="163" t="n">
        <x:v>-2871.224646299107</x:v>
      </x:c>
      <x:c r="F975" s="163" t="n">
        <x:v>0</x:v>
      </x:c>
      <x:c r="G975" s="145" t="n">
        <x:v>0.028835951455197465</x:v>
      </x:c>
      <x:c r="H975" s="145" t="n">
        <x:v>0.5</x:v>
      </x:c>
      <x:c r="I975" s="136" t="str">
        <x:v>NONPOSITIVE-MODEL-MARGIN</x:v>
      </x:c>
      <x:c r="J975" s="136" t="str">
        <x:v>V0.7-CONTROLLED-RESEARCH-SCREEN-NOT-DISTRIBUTION</x:v>
      </x:c>
    </x:row>
    <x:row r="976" ht="22" customHeight="1">
      <x:c r="A976" s="137" t="str">
        <x:v>SCR-0971</x:v>
      </x:c>
      <x:c r="B976" s="142" t="n">
        <x:v>0.0000011717948717948719</x:v>
      </x:c>
      <x:c r="C976" s="142" t="n">
        <x:v>0.011</x:v>
      </x:c>
      <x:c r="D976" s="160" t="n">
        <x:v>1</x:v>
      </x:c>
      <x:c r="E976" s="162" t="n">
        <x:v>-2888.8927193090813</x:v>
      </x:c>
      <x:c r="F976" s="162" t="n">
        <x:v>0</x:v>
      </x:c>
      <x:c r="G976" s="144" t="n">
        <x:v>0.029132235483742417</x:v>
      </x:c>
      <x:c r="H976" s="144" t="n">
        <x:v>0.5</x:v>
      </x:c>
      <x:c r="I976" s="137" t="str">
        <x:v>NONPOSITIVE-MODEL-MARGIN</x:v>
      </x:c>
      <x:c r="J976" s="137" t="str">
        <x:v>V0.7-CONTROLLED-RESEARCH-SCREEN-NOT-DISTRIBUTION</x:v>
      </x:c>
    </x:row>
    <x:row r="977" ht="22" customHeight="1">
      <x:c r="A977" s="136" t="str">
        <x:v>SCR-0972</x:v>
      </x:c>
      <x:c r="B977" s="143" t="n">
        <x:v>0.0000011717948717948719</x:v>
      </x:c>
      <x:c r="C977" s="143" t="n">
        <x:v>0.011307692307692307</x:v>
      </x:c>
      <x:c r="D977" s="161" t="n">
        <x:v>1</x:v>
      </x:c>
      <x:c r="E977" s="163" t="n">
        <x:v>-2906.5120324547584</x:v>
      </x:c>
      <x:c r="F977" s="163" t="n">
        <x:v>0</x:v>
      </x:c>
      <x:c r="G977" s="145" t="n">
        <x:v>0.029428519512287376</x:v>
      </x:c>
      <x:c r="H977" s="145" t="n">
        <x:v>0.5</x:v>
      </x:c>
      <x:c r="I977" s="136" t="str">
        <x:v>NONPOSITIVE-MODEL-MARGIN</x:v>
      </x:c>
      <x:c r="J977" s="136" t="str">
        <x:v>V0.7-CONTROLLED-RESEARCH-SCREEN-NOT-DISTRIBUTION</x:v>
      </x:c>
    </x:row>
    <x:row r="978" ht="22" customHeight="1">
      <x:c r="A978" s="137" t="str">
        <x:v>SCR-0973</x:v>
      </x:c>
      <x:c r="B978" s="142" t="n">
        <x:v>0.0000011717948717948719</x:v>
      </x:c>
      <x:c r="C978" s="142" t="n">
        <x:v>0.011615384615384614</x:v>
      </x:c>
      <x:c r="D978" s="160" t="n">
        <x:v>1</x:v>
      </x:c>
      <x:c r="E978" s="162" t="n">
        <x:v>-2924.082968649516</x:v>
      </x:c>
      <x:c r="F978" s="162" t="n">
        <x:v>0</x:v>
      </x:c>
      <x:c r="G978" s="144" t="n">
        <x:v>0.02972480354083232</x:v>
      </x:c>
      <x:c r="H978" s="144" t="n">
        <x:v>0.5</x:v>
      </x:c>
      <x:c r="I978" s="137" t="str">
        <x:v>NONPOSITIVE-MODEL-MARGIN</x:v>
      </x:c>
      <x:c r="J978" s="137" t="str">
        <x:v>V0.7-CONTROLLED-RESEARCH-SCREEN-NOT-DISTRIBUTION</x:v>
      </x:c>
    </x:row>
    <x:row r="979" ht="22" customHeight="1">
      <x:c r="A979" s="136" t="str">
        <x:v>SCR-0974</x:v>
      </x:c>
      <x:c r="B979" s="143" t="n">
        <x:v>0.0000011717948717948719</x:v>
      </x:c>
      <x:c r="C979" s="143" t="n">
        <x:v>0.011923076923076925</x:v>
      </x:c>
      <x:c r="D979" s="161" t="n">
        <x:v>1</x:v>
      </x:c>
      <x:c r="E979" s="163" t="n">
        <x:v>-2941.6059049041196</x:v>
      </x:c>
      <x:c r="F979" s="163" t="n">
        <x:v>0</x:v>
      </x:c>
      <x:c r="G979" s="145" t="n">
        <x:v>0.03002108756937728</x:v>
      </x:c>
      <x:c r="H979" s="145" t="n">
        <x:v>0.5</x:v>
      </x:c>
      <x:c r="I979" s="136" t="str">
        <x:v>NONPOSITIVE-MODEL-MARGIN</x:v>
      </x:c>
      <x:c r="J979" s="136" t="str">
        <x:v>V0.7-CONTROLLED-RESEARCH-SCREEN-NOT-DISTRIBUTION</x:v>
      </x:c>
    </x:row>
    <x:row r="980" ht="22" customHeight="1">
      <x:c r="A980" s="137" t="str">
        <x:v>SCR-0975</x:v>
      </x:c>
      <x:c r="B980" s="142" t="n">
        <x:v>0.0000011717948717948719</x:v>
      </x:c>
      <x:c r="C980" s="142" t="n">
        <x:v>0.012230769230769233</x:v>
      </x:c>
      <x:c r="D980" s="160" t="n">
        <x:v>1</x:v>
      </x:c>
      <x:c r="E980" s="162" t="n">
        <x:v>-2959.0812124503414</x:v>
      </x:c>
      <x:c r="F980" s="162" t="n">
        <x:v>0</x:v>
      </x:c>
      <x:c r="G980" s="144" t="n">
        <x:v>0.030317371597922232</x:v>
      </x:c>
      <x:c r="H980" s="144" t="n">
        <x:v>0.5</x:v>
      </x:c>
      <x:c r="I980" s="137" t="str">
        <x:v>NONPOSITIVE-MODEL-MARGIN</x:v>
      </x:c>
      <x:c r="J980" s="137" t="str">
        <x:v>V0.7-CONTROLLED-RESEARCH-SCREEN-NOT-DISTRIBUTION</x:v>
      </x:c>
    </x:row>
    <x:row r="981" ht="22" customHeight="1">
      <x:c r="A981" s="136" t="str">
        <x:v>SCR-0976</x:v>
      </x:c>
      <x:c r="B981" s="143" t="n">
        <x:v>0.0000011717948717948719</x:v>
      </x:c>
      <x:c r="C981" s="143" t="n">
        <x:v>0.01253846153846154</x:v>
      </x:c>
      <x:c r="D981" s="161" t="n">
        <x:v>1</x:v>
      </x:c>
      <x:c r="E981" s="163" t="n">
        <x:v>-2976.509256861716</x:v>
      </x:c>
      <x:c r="F981" s="163" t="n">
        <x:v>0</x:v>
      </x:c>
      <x:c r="G981" s="145" t="n">
        <x:v>0.03061365562646718</x:v>
      </x:c>
      <x:c r="H981" s="145" t="n">
        <x:v>0.5</x:v>
      </x:c>
      <x:c r="I981" s="136" t="str">
        <x:v>NONPOSITIVE-MODEL-MARGIN</x:v>
      </x:c>
      <x:c r="J981" s="136" t="str">
        <x:v>V0.7-CONTROLLED-RESEARCH-SCREEN-NOT-DISTRIBUTION</x:v>
      </x:c>
    </x:row>
    <x:row r="982" ht="22" customHeight="1">
      <x:c r="A982" s="137" t="str">
        <x:v>SCR-0977</x:v>
      </x:c>
      <x:c r="B982" s="142" t="n">
        <x:v>0.0000011717948717948719</x:v>
      </x:c>
      <x:c r="C982" s="142" t="n">
        <x:v>0.012846153846153847</x:v>
      </x:c>
      <x:c r="D982" s="160" t="n">
        <x:v>1</x:v>
      </x:c>
      <x:c r="E982" s="162" t="n">
        <x:v>-2993.890398171485</x:v>
      </x:c>
      <x:c r="F982" s="162" t="n">
        <x:v>0</x:v>
      </x:c>
      <x:c r="G982" s="144" t="n">
        <x:v>0.030909939655012136</x:v>
      </x:c>
      <x:c r="H982" s="144" t="n">
        <x:v>0.5</x:v>
      </x:c>
      <x:c r="I982" s="137" t="str">
        <x:v>NONPOSITIVE-MODEL-MARGIN</x:v>
      </x:c>
      <x:c r="J982" s="137" t="str">
        <x:v>V0.7-CONTROLLED-RESEARCH-SCREEN-NOT-DISTRIBUTION</x:v>
      </x:c>
    </x:row>
    <x:row r="983" ht="22" customHeight="1">
      <x:c r="A983" s="136" t="str">
        <x:v>SCR-0978</x:v>
      </x:c>
      <x:c r="B983" s="143" t="n">
        <x:v>0.0000011717948717948719</x:v>
      </x:c>
      <x:c r="C983" s="143" t="n">
        <x:v>0.013153846153846155</x:v>
      </x:c>
      <x:c r="D983" s="161" t="n">
        <x:v>1</x:v>
      </x:c>
      <x:c r="E983" s="163" t="n">
        <x:v>-3011.224990987803</x:v>
      </x:c>
      <x:c r="F983" s="163" t="n">
        <x:v>0</x:v>
      </x:c>
      <x:c r="G983" s="145" t="n">
        <x:v>0.031206223683557084</x:v>
      </x:c>
      <x:c r="H983" s="145" t="n">
        <x:v>0.5</x:v>
      </x:c>
      <x:c r="I983" s="136" t="str">
        <x:v>NONPOSITIVE-MODEL-MARGIN</x:v>
      </x:c>
      <x:c r="J983" s="136" t="str">
        <x:v>V0.7-CONTROLLED-RESEARCH-SCREEN-NOT-DISTRIBUTION</x:v>
      </x:c>
    </x:row>
    <x:row r="984" ht="22" customHeight="1">
      <x:c r="A984" s="137" t="str">
        <x:v>SCR-0979</x:v>
      </x:c>
      <x:c r="B984" s="142" t="n">
        <x:v>0.0000011717948717948719</x:v>
      </x:c>
      <x:c r="C984" s="142" t="n">
        <x:v>0.013461538461538462</x:v>
      </x:c>
      <x:c r="D984" s="160" t="n">
        <x:v>1</x:v>
      </x:c>
      <x:c r="E984" s="162" t="n">
        <x:v>-3028.513384606227</x:v>
      </x:c>
      <x:c r="F984" s="162" t="n">
        <x:v>0</x:v>
      </x:c>
      <x:c r="G984" s="144" t="n">
        <x:v>0.03150250771210204</x:v>
      </x:c>
      <x:c r="H984" s="144" t="n">
        <x:v>0.5</x:v>
      </x:c>
      <x:c r="I984" s="137" t="str">
        <x:v>NONPOSITIVE-MODEL-MARGIN</x:v>
      </x:c>
      <x:c r="J984" s="137" t="str">
        <x:v>V0.7-CONTROLLED-RESEARCH-SCREEN-NOT-DISTRIBUTION</x:v>
      </x:c>
    </x:row>
    <x:row r="985" ht="22" customHeight="1">
      <x:c r="A985" s="136" t="str">
        <x:v>SCR-0980</x:v>
      </x:c>
      <x:c r="B985" s="143" t="n">
        <x:v>0.0000011717948717948719</x:v>
      </x:c>
      <x:c r="C985" s="143" t="n">
        <x:v>0.01376923076923077</x:v>
      </x:c>
      <x:c r="D985" s="161" t="n">
        <x:v>1</x:v>
      </x:c>
      <x:c r="E985" s="163" t="n">
        <x:v>-3045.7559231194846</x:v>
      </x:c>
      <x:c r="F985" s="163" t="n">
        <x:v>0</x:v>
      </x:c>
      <x:c r="G985" s="145" t="n">
        <x:v>0.031798791740646995</x:v>
      </x:c>
      <x:c r="H985" s="145" t="n">
        <x:v>0.5</x:v>
      </x:c>
      <x:c r="I985" s="136" t="str">
        <x:v>NONPOSITIVE-MODEL-MARGIN</x:v>
      </x:c>
      <x:c r="J985" s="136" t="str">
        <x:v>V0.7-CONTROLLED-RESEARCH-SCREEN-NOT-DISTRIBUTION</x:v>
      </x:c>
    </x:row>
    <x:row r="986" ht="22" customHeight="1">
      <x:c r="A986" s="137" t="str">
        <x:v>SCR-0981</x:v>
      </x:c>
      <x:c r="B986" s="142" t="n">
        <x:v>0.0000011717948717948719</x:v>
      </x:c>
      <x:c r="C986" s="142" t="n">
        <x:v>0.014076923076923077</x:v>
      </x:c>
      <x:c r="D986" s="160" t="n">
        <x:v>1</x:v>
      </x:c>
      <x:c r="E986" s="162" t="n">
        <x:v>-3062.952945524728</x:v>
      </x:c>
      <x:c r="F986" s="162" t="n">
        <x:v>0</x:v>
      </x:c>
      <x:c r="G986" s="144" t="n">
        <x:v>0.03209507576919195</x:v>
      </x:c>
      <x:c r="H986" s="144" t="n">
        <x:v>0.5</x:v>
      </x:c>
      <x:c r="I986" s="137" t="str">
        <x:v>NONPOSITIVE-MODEL-MARGIN</x:v>
      </x:c>
      <x:c r="J986" s="137" t="str">
        <x:v>V0.7-CONTROLLED-RESEARCH-SCREEN-NOT-DISTRIBUTION</x:v>
      </x:c>
    </x:row>
    <x:row r="987" ht="22" customHeight="1">
      <x:c r="A987" s="136" t="str">
        <x:v>SCR-0982</x:v>
      </x:c>
      <x:c r="B987" s="143" t="n">
        <x:v>0.0000011717948717948719</x:v>
      </x:c>
      <x:c r="C987" s="143" t="n">
        <x:v>0.014384615384615385</x:v>
      </x:c>
      <x:c r="D987" s="161" t="n">
        <x:v>1</x:v>
      </x:c>
      <x:c r="E987" s="163" t="n">
        <x:v>-3080.1047858281227</x:v>
      </x:c>
      <x:c r="F987" s="163" t="n">
        <x:v>0</x:v>
      </x:c>
      <x:c r="G987" s="145" t="n">
        <x:v>0.03239135979773689</x:v>
      </x:c>
      <x:c r="H987" s="145" t="n">
        <x:v>0.5</x:v>
      </x:c>
      <x:c r="I987" s="136" t="str">
        <x:v>NONPOSITIVE-MODEL-MARGIN</x:v>
      </x:c>
      <x:c r="J987" s="136" t="str">
        <x:v>V0.7-CONTROLLED-RESEARCH-SCREEN-NOT-DISTRIBUTION</x:v>
      </x:c>
    </x:row>
    <x:row r="988" ht="22" customHeight="1">
      <x:c r="A988" s="137" t="str">
        <x:v>SCR-0983</x:v>
      </x:c>
      <x:c r="B988" s="142" t="n">
        <x:v>0.0000011717948717948719</x:v>
      </x:c>
      <x:c r="C988" s="142" t="n">
        <x:v>0.014692307692307692</x:v>
      </x:c>
      <x:c r="D988" s="160" t="n">
        <x:v>1</x:v>
      </x:c>
      <x:c r="E988" s="162" t="n">
        <x:v>-3097.211773147021</x:v>
      </x:c>
      <x:c r="F988" s="162" t="n">
        <x:v>0</x:v>
      </x:c>
      <x:c r="G988" s="144" t="n">
        <x:v>0.03268764382628186</x:v>
      </x:c>
      <x:c r="H988" s="144" t="n">
        <x:v>0.5</x:v>
      </x:c>
      <x:c r="I988" s="137" t="str">
        <x:v>NONPOSITIVE-MODEL-MARGIN</x:v>
      </x:c>
      <x:c r="J988" s="137" t="str">
        <x:v>V0.7-CONTROLLED-RESEARCH-SCREEN-NOT-DISTRIBUTION</x:v>
      </x:c>
    </x:row>
    <x:row r="989" ht="22" customHeight="1">
      <x:c r="A989" s="136" t="str">
        <x:v>SCR-0984</x:v>
      </x:c>
      <x:c r="B989" s="143" t="n">
        <x:v>0.0000011717948717948719</x:v>
      </x:c>
      <x:c r="C989" s="143" t="n">
        <x:v>0.015</x:v>
      </x:c>
      <x:c r="D989" s="161" t="n">
        <x:v>1</x:v>
      </x:c>
      <x:c r="E989" s="163" t="n">
        <x:v>-3114.274231809603</x:v>
      </x:c>
      <x:c r="F989" s="163" t="n">
        <x:v>0</x:v>
      </x:c>
      <x:c r="G989" s="145" t="n">
        <x:v>0.0329839278548268</x:v>
      </x:c>
      <x:c r="H989" s="145" t="n">
        <x:v>0.5</x:v>
      </x:c>
      <x:c r="I989" s="136" t="str">
        <x:v>NONPOSITIVE-MODEL-MARGIN</x:v>
      </x:c>
      <x:c r="J989" s="136" t="str">
        <x:v>V0.7-CONTROLLED-RESEARCH-SCREEN-NOT-DISTRIBUTION</x:v>
      </x:c>
    </x:row>
    <x:row r="990" ht="22" customHeight="1">
      <x:c r="A990" s="137" t="str">
        <x:v>SCR-0985</x:v>
      </x:c>
      <x:c r="B990" s="142" t="n">
        <x:v>0.0000012205128205128203</x:v>
      </x:c>
      <x:c r="C990" s="142" t="n">
        <x:v>0.003</x:v>
      </x:c>
      <x:c r="D990" s="160" t="n">
        <x:v>1</x:v>
      </x:c>
      <x:c r="E990" s="162" t="n">
        <x:v>-2456.7830772779553</x:v>
      </x:c>
      <x:c r="F990" s="162" t="n">
        <x:v>0</x:v>
      </x:c>
      <x:c r="G990" s="144" t="n">
        <x:v>0.022146374916265255</x:v>
      </x:c>
      <x:c r="H990" s="144" t="n">
        <x:v>0.5</x:v>
      </x:c>
      <x:c r="I990" s="137" t="str">
        <x:v>NONPOSITIVE-MODEL-MARGIN</x:v>
      </x:c>
      <x:c r="J990" s="137" t="str">
        <x:v>V0.7-CONTROLLED-RESEARCH-SCREEN-NOT-DISTRIBUTION</x:v>
      </x:c>
    </x:row>
    <x:row r="991" ht="22" customHeight="1">
      <x:c r="A991" s="136" t="str">
        <x:v>SCR-0986</x:v>
      </x:c>
      <x:c r="B991" s="143" t="n">
        <x:v>0.0000012205128205128203</x:v>
      </x:c>
      <x:c r="C991" s="143" t="n">
        <x:v>0.003307692307692308</x:v>
      </x:c>
      <x:c r="D991" s="161" t="n">
        <x:v>1</x:v>
      </x:c>
      <x:c r="E991" s="163" t="n">
        <x:v>-2475.6867070734625</x:v>
      </x:c>
      <x:c r="F991" s="163" t="n">
        <x:v>0</x:v>
      </x:c>
      <x:c r="G991" s="145" t="n">
        <x:v>0.022442214754112115</x:v>
      </x:c>
      <x:c r="H991" s="145" t="n">
        <x:v>0.5</x:v>
      </x:c>
      <x:c r="I991" s="136" t="str">
        <x:v>NONPOSITIVE-MODEL-MARGIN</x:v>
      </x:c>
      <x:c r="J991" s="136" t="str">
        <x:v>V0.7-CONTROLLED-RESEARCH-SCREEN-NOT-DISTRIBUTION</x:v>
      </x:c>
    </x:row>
    <x:row r="992" ht="22" customHeight="1">
      <x:c r="A992" s="137" t="str">
        <x:v>SCR-0987</x:v>
      </x:c>
      <x:c r="B992" s="142" t="n">
        <x:v>0.0000012205128205128203</x:v>
      </x:c>
      <x:c r="C992" s="142" t="n">
        <x:v>0.0036153846153846154</x:v>
      </x:c>
      <x:c r="D992" s="160" t="n">
        <x:v>1</x:v>
      </x:c>
      <x:c r="E992" s="162" t="n">
        <x:v>-2494.530909552782</x:v>
      </x:c>
      <x:c r="F992" s="162" t="n">
        <x:v>0</x:v>
      </x:c>
      <x:c r="G992" s="144" t="n">
        <x:v>0.022738054591958986</x:v>
      </x:c>
      <x:c r="H992" s="144" t="n">
        <x:v>0.5</x:v>
      </x:c>
      <x:c r="I992" s="137" t="str">
        <x:v>NONPOSITIVE-MODEL-MARGIN</x:v>
      </x:c>
      <x:c r="J992" s="137" t="str">
        <x:v>V0.7-CONTROLLED-RESEARCH-SCREEN-NOT-DISTRIBUTION</x:v>
      </x:c>
    </x:row>
    <x:row r="993" ht="22" customHeight="1">
      <x:c r="A993" s="136" t="str">
        <x:v>SCR-0988</x:v>
      </x:c>
      <x:c r="B993" s="143" t="n">
        <x:v>0.0000012205128205128203</x:v>
      </x:c>
      <x:c r="C993" s="143" t="n">
        <x:v>0.003923076923076923</x:v>
      </x:c>
      <x:c r="D993" s="161" t="n">
        <x:v>1</x:v>
      </x:c>
      <x:c r="E993" s="163" t="n">
        <x:v>-2513.316244333023</x:v>
      </x:c>
      <x:c r="F993" s="163" t="n">
        <x:v>0</x:v>
      </x:c>
      <x:c r="G993" s="145" t="n">
        <x:v>0.023033894429805843</x:v>
      </x:c>
      <x:c r="H993" s="145" t="n">
        <x:v>0.5</x:v>
      </x:c>
      <x:c r="I993" s="136" t="str">
        <x:v>NONPOSITIVE-MODEL-MARGIN</x:v>
      </x:c>
      <x:c r="J993" s="136" t="str">
        <x:v>V0.7-CONTROLLED-RESEARCH-SCREEN-NOT-DISTRIBUTION</x:v>
      </x:c>
    </x:row>
    <x:row r="994" ht="22" customHeight="1">
      <x:c r="A994" s="137" t="str">
        <x:v>SCR-0989</x:v>
      </x:c>
      <x:c r="B994" s="142" t="n">
        <x:v>0.0000012205128205128203</x:v>
      </x:c>
      <x:c r="C994" s="142" t="n">
        <x:v>0.004230769230769231</x:v>
      </x:c>
      <x:c r="D994" s="160" t="n">
        <x:v>1</x:v>
      </x:c>
      <x:c r="E994" s="162" t="n">
        <x:v>-2535.7776818258317</x:v>
      </x:c>
      <x:c r="F994" s="162" t="n">
        <x:v>0</x:v>
      </x:c>
      <x:c r="G994" s="144" t="n">
        <x:v>0.023329734267652703</x:v>
      </x:c>
      <x:c r="H994" s="144" t="n">
        <x:v>0.5</x:v>
      </x:c>
      <x:c r="I994" s="137" t="str">
        <x:v>NONPOSITIVE-MODEL-MARGIN</x:v>
      </x:c>
      <x:c r="J994" s="137" t="str">
        <x:v>V0.7-CONTROLLED-RESEARCH-SCREEN-NOT-DISTRIBUTION</x:v>
      </x:c>
    </x:row>
    <x:row r="995" ht="22" customHeight="1">
      <x:c r="A995" s="136" t="str">
        <x:v>SCR-0990</x:v>
      </x:c>
      <x:c r="B995" s="143" t="n">
        <x:v>0.0000012205128205128203</x:v>
      </x:c>
      <x:c r="C995" s="143" t="n">
        <x:v>0.004538461538461538</x:v>
      </x:c>
      <x:c r="D995" s="161" t="n">
        <x:v>1</x:v>
      </x:c>
      <x:c r="E995" s="163" t="n">
        <x:v>-2554.4340177824447</x:v>
      </x:c>
      <x:c r="F995" s="163" t="n">
        <x:v>0</x:v>
      </x:c>
      <x:c r="G995" s="145" t="n">
        <x:v>0.02362557410549956</x:v>
      </x:c>
      <x:c r="H995" s="145" t="n">
        <x:v>0.5</x:v>
      </x:c>
      <x:c r="I995" s="136" t="str">
        <x:v>NONPOSITIVE-MODEL-MARGIN</x:v>
      </x:c>
      <x:c r="J995" s="136" t="str">
        <x:v>V0.7-CONTROLLED-RESEARCH-SCREEN-NOT-DISTRIBUTION</x:v>
      </x:c>
    </x:row>
    <x:row r="996" ht="22" customHeight="1">
      <x:c r="A996" s="137" t="str">
        <x:v>SCR-0991</x:v>
      </x:c>
      <x:c r="B996" s="142" t="n">
        <x:v>0.0000012205128205128203</x:v>
      </x:c>
      <x:c r="C996" s="142" t="n">
        <x:v>0.004846153846153846</x:v>
      </x:c>
      <x:c r="D996" s="160" t="n">
        <x:v>1</x:v>
      </x:c>
      <x:c r="E996" s="162" t="n">
        <x:v>-2573.0332647073105</x:v>
      </x:c>
      <x:c r="F996" s="162" t="n">
        <x:v>0</x:v>
      </x:c>
      <x:c r="G996" s="144" t="n">
        <x:v>0.023921413943346424</x:v>
      </x:c>
      <x:c r="H996" s="144" t="n">
        <x:v>0.5</x:v>
      </x:c>
      <x:c r="I996" s="137" t="str">
        <x:v>NONPOSITIVE-MODEL-MARGIN</x:v>
      </x:c>
      <x:c r="J996" s="137" t="str">
        <x:v>V0.7-CONTROLLED-RESEARCH-SCREEN-NOT-DISTRIBUTION</x:v>
      </x:c>
    </x:row>
    <x:row r="997" ht="22" customHeight="1">
      <x:c r="A997" s="136" t="str">
        <x:v>SCR-0992</x:v>
      </x:c>
      <x:c r="B997" s="143" t="n">
        <x:v>0.0000012205128205128203</x:v>
      </x:c>
      <x:c r="C997" s="143" t="n">
        <x:v>0.005</x:v>
      </x:c>
      <x:c r="D997" s="161" t="n">
        <x:v>1</x:v>
      </x:c>
      <x:c r="E997" s="163" t="n">
        <x:v>-2582.311642139174</x:v>
      </x:c>
      <x:c r="F997" s="163" t="n">
        <x:v>0</x:v>
      </x:c>
      <x:c r="G997" s="145" t="n">
        <x:v>0.024069333862269858</x:v>
      </x:c>
      <x:c r="H997" s="145" t="n">
        <x:v>0.5</x:v>
      </x:c>
      <x:c r="I997" s="136" t="str">
        <x:v>NONPOSITIVE-MODEL-MARGIN</x:v>
      </x:c>
      <x:c r="J997" s="136" t="str">
        <x:v>V0.7-CONTROLLED-RESEARCH-SCREEN-NOT-DISTRIBUTION</x:v>
      </x:c>
    </x:row>
    <x:row r="998" ht="22" customHeight="1">
      <x:c r="A998" s="137" t="str">
        <x:v>SCR-0993</x:v>
      </x:c>
      <x:c r="B998" s="142" t="n">
        <x:v>0.0000012205128205128203</x:v>
      </x:c>
      <x:c r="C998" s="142" t="n">
        <x:v>0.005153846153846154</x:v>
      </x:c>
      <x:c r="D998" s="160" t="n">
        <x:v>1</x:v>
      </x:c>
      <x:c r="E998" s="162" t="n">
        <x:v>-2591.575941043004</x:v>
      </x:c>
      <x:c r="F998" s="162" t="n">
        <x:v>0</x:v>
      </x:c>
      <x:c r="G998" s="144" t="n">
        <x:v>0.024217253781193288</x:v>
      </x:c>
      <x:c r="H998" s="144" t="n">
        <x:v>0.5</x:v>
      </x:c>
      <x:c r="I998" s="137" t="str">
        <x:v>NONPOSITIVE-MODEL-MARGIN</x:v>
      </x:c>
      <x:c r="J998" s="137" t="str">
        <x:v>V0.7-CONTROLLED-RESEARCH-SCREEN-NOT-DISTRIBUTION</x:v>
      </x:c>
    </x:row>
    <x:row r="999" ht="22" customHeight="1">
      <x:c r="A999" s="136" t="str">
        <x:v>SCR-0994</x:v>
      </x:c>
      <x:c r="B999" s="143" t="n">
        <x:v>0.0000012205128205128203</x:v>
      </x:c>
      <x:c r="C999" s="143" t="n">
        <x:v>0.005461538461538462</x:v>
      </x:c>
      <x:c r="D999" s="161" t="n">
        <x:v>1</x:v>
      </x:c>
      <x:c r="E999" s="163" t="n">
        <x:v>-2610.0625565031537</x:v>
      </x:c>
      <x:c r="F999" s="163" t="n">
        <x:v>0</x:v>
      </x:c>
      <x:c r="G999" s="145" t="n">
        <x:v>0.024513093619040145</x:v>
      </x:c>
      <x:c r="H999" s="145" t="n">
        <x:v>0.5</x:v>
      </x:c>
      <x:c r="I999" s="136" t="str">
        <x:v>NONPOSITIVE-MODEL-MARGIN</x:v>
      </x:c>
      <x:c r="J999" s="136" t="str">
        <x:v>V0.7-CONTROLLED-RESEARCH-SCREEN-NOT-DISTRIBUTION</x:v>
      </x:c>
    </x:row>
    <x:row r="1000" ht="22" customHeight="1">
      <x:c r="A1000" s="137" t="str">
        <x:v>SCR-0995</x:v>
      </x:c>
      <x:c r="B1000" s="142" t="n">
        <x:v>0.0000012205128205128203</x:v>
      </x:c>
      <x:c r="C1000" s="142" t="n">
        <x:v>0.0057692307692307696</x:v>
      </x:c>
      <x:c r="D1000" s="160" t="n">
        <x:v>1</x:v>
      </x:c>
      <x:c r="E1000" s="162" t="n">
        <x:v>-2628.4936122470795</x:v>
      </x:c>
      <x:c r="F1000" s="162" t="n">
        <x:v>0</x:v>
      </x:c>
      <x:c r="G1000" s="144" t="n">
        <x:v>0.024808933456887006</x:v>
      </x:c>
      <x:c r="H1000" s="144" t="n">
        <x:v>0.5</x:v>
      </x:c>
      <x:c r="I1000" s="137" t="str">
        <x:v>NONPOSITIVE-MODEL-MARGIN</x:v>
      </x:c>
      <x:c r="J1000" s="137" t="str">
        <x:v>V0.7-CONTROLLED-RESEARCH-SCREEN-NOT-DISTRIBUTION</x:v>
      </x:c>
    </x:row>
    <x:row r="1001" ht="22" customHeight="1">
      <x:c r="A1001" s="136" t="str">
        <x:v>SCR-0996</x:v>
      </x:c>
      <x:c r="B1001" s="143" t="n">
        <x:v>0.0000012205128205128203</x:v>
      </x:c>
      <x:c r="C1001" s="143" t="n">
        <x:v>0.006076923076923077</x:v>
      </x:c>
      <x:c r="D1001" s="161" t="n">
        <x:v>1</x:v>
      </x:c>
      <x:c r="E1001" s="163" t="n">
        <x:v>-2646.8696010526687</x:v>
      </x:c>
      <x:c r="F1001" s="163" t="n">
        <x:v>0</x:v>
      </x:c>
      <x:c r="G1001" s="145" t="n">
        <x:v>0.02510477329473387</x:v>
      </x:c>
      <x:c r="H1001" s="145" t="n">
        <x:v>0.5</x:v>
      </x:c>
      <x:c r="I1001" s="136" t="str">
        <x:v>NONPOSITIVE-MODEL-MARGIN</x:v>
      </x:c>
      <x:c r="J1001" s="136" t="str">
        <x:v>V0.7-CONTROLLED-RESEARCH-SCREEN-NOT-DISTRIBUTION</x:v>
      </x:c>
    </x:row>
    <x:row r="1002" ht="22" customHeight="1">
      <x:c r="A1002" s="137" t="str">
        <x:v>SCR-0997</x:v>
      </x:c>
      <x:c r="B1002" s="142" t="n">
        <x:v>0.0000012205128205128203</x:v>
      </x:c>
      <x:c r="C1002" s="142" t="n">
        <x:v>0.006384615384615384</x:v>
      </x:c>
      <x:c r="D1002" s="160" t="n">
        <x:v>1</x:v>
      </x:c>
      <x:c r="E1002" s="162" t="n">
        <x:v>-2665.1910074873726</x:v>
      </x:c>
      <x:c r="F1002" s="162" t="n">
        <x:v>0</x:v>
      </x:c>
      <x:c r="G1002" s="144" t="n">
        <x:v>0.02540061313258073</x:v>
      </x:c>
      <x:c r="H1002" s="144" t="n">
        <x:v>0.5</x:v>
      </x:c>
      <x:c r="I1002" s="137" t="str">
        <x:v>NONPOSITIVE-MODEL-MARGIN</x:v>
      </x:c>
      <x:c r="J1002" s="137" t="str">
        <x:v>V0.7-CONTROLLED-RESEARCH-SCREEN-NOT-DISTRIBUTION</x:v>
      </x:c>
    </x:row>
    <x:row r="1003" ht="22" customHeight="1">
      <x:c r="A1003" s="136" t="str">
        <x:v>SCR-0998</x:v>
      </x:c>
      <x:c r="B1003" s="143" t="n">
        <x:v>0.0000012205128205128203</x:v>
      </x:c>
      <x:c r="C1003" s="143" t="n">
        <x:v>0.006692307692307693</x:v>
      </x:c>
      <x:c r="D1003" s="161" t="n">
        <x:v>1</x:v>
      </x:c>
      <x:c r="E1003" s="163" t="n">
        <x:v>-2683.4583080769994</x:v>
      </x:c>
      <x:c r="F1003" s="163" t="n">
        <x:v>0</x:v>
      </x:c>
      <x:c r="G1003" s="145" t="n">
        <x:v>0.02569645297042759</x:v>
      </x:c>
      <x:c r="H1003" s="145" t="n">
        <x:v>0.5</x:v>
      </x:c>
      <x:c r="I1003" s="136" t="str">
        <x:v>NONPOSITIVE-MODEL-MARGIN</x:v>
      </x:c>
      <x:c r="J1003" s="136" t="str">
        <x:v>V0.7-CONTROLLED-RESEARCH-SCREEN-NOT-DISTRIBUTION</x:v>
      </x:c>
    </x:row>
    <x:row r="1004" ht="22" customHeight="1">
      <x:c r="A1004" s="137" t="str">
        <x:v>SCR-0999</x:v>
      </x:c>
      <x:c r="B1004" s="142" t="n">
        <x:v>0.0000012205128205128203</x:v>
      </x:c>
      <x:c r="C1004" s="142" t="n">
        <x:v>0.007</x:v>
      </x:c>
      <x:c r="D1004" s="160" t="n">
        <x:v>1</x:v>
      </x:c>
      <x:c r="E1004" s="162" t="n">
        <x:v>-2705.2955906249667</x:v>
      </x:c>
      <x:c r="F1004" s="162" t="n">
        <x:v>0</x:v>
      </x:c>
      <x:c r="G1004" s="144" t="n">
        <x:v>0.025992292808274448</x:v>
      </x:c>
      <x:c r="H1004" s="144" t="n">
        <x:v>0.5</x:v>
      </x:c>
      <x:c r="I1004" s="137" t="str">
        <x:v>NONPOSITIVE-MODEL-MARGIN</x:v>
      </x:c>
      <x:c r="J1004" s="137" t="str">
        <x:v>V0.7-CONTROLLED-RESEARCH-SCREEN-NOT-DISTRIBUTION</x:v>
      </x:c>
    </x:row>
    <x:row r="1005" ht="22" customHeight="1">
      <x:c r="A1005" s="136" t="str">
        <x:v>SCR-1000</x:v>
      </x:c>
      <x:c r="B1005" s="143" t="n">
        <x:v>0.0000012205128205128203</x:v>
      </x:c>
      <x:c r="C1005" s="143" t="n">
        <x:v>0.007307692307692308</x:v>
      </x:c>
      <x:c r="D1005" s="161" t="n">
        <x:v>1</x:v>
      </x:c>
      <x:c r="E1005" s="163" t="n">
        <x:v>-2723.444456440255</x:v>
      </x:c>
      <x:c r="F1005" s="163" t="n">
        <x:v>0</x:v>
      </x:c>
      <x:c r="G1005" s="145" t="n">
        <x:v>0.02628813264612131</x:v>
      </x:c>
      <x:c r="H1005" s="145" t="n">
        <x:v>0.5</x:v>
      </x:c>
      <x:c r="I1005" s="136" t="str">
        <x:v>NONPOSITIVE-MODEL-MARGIN</x:v>
      </x:c>
      <x:c r="J1005" s="136" t="str">
        <x:v>V0.7-CONTROLLED-RESEARCH-SCREEN-NOT-DISTRIBUTION</x:v>
      </x:c>
    </x:row>
    <x:row r="1006" ht="22" customHeight="1">
      <x:c r="A1006" s="137" t="str">
        <x:v>SCR-1001</x:v>
      </x:c>
      <x:c r="B1006" s="142" t="n">
        <x:v>0.0000012205128205128203</x:v>
      </x:c>
      <x:c r="C1006" s="142" t="n">
        <x:v>0.007615384615384616</x:v>
      </x:c>
      <x:c r="D1006" s="160" t="n">
        <x:v>1</x:v>
      </x:c>
      <x:c r="E1006" s="162" t="n">
        <x:v>-2741.5407259511626</x:v>
      </x:c>
      <x:c r="F1006" s="162" t="n">
        <x:v>0</x:v>
      </x:c>
      <x:c r="G1006" s="144" t="n">
        <x:v>0.026583972483968175</x:v>
      </x:c>
      <x:c r="H1006" s="144" t="n">
        <x:v>0.5</x:v>
      </x:c>
      <x:c r="I1006" s="137" t="str">
        <x:v>NONPOSITIVE-MODEL-MARGIN</x:v>
      </x:c>
      <x:c r="J1006" s="137" t="str">
        <x:v>V0.7-CONTROLLED-RESEARCH-SCREEN-NOT-DISTRIBUTION</x:v>
      </x:c>
    </x:row>
    <x:row r="1007" ht="22" customHeight="1">
      <x:c r="A1007" s="136" t="str">
        <x:v>SCR-1002</x:v>
      </x:c>
      <x:c r="B1007" s="143" t="n">
        <x:v>0.0000012205128205128203</x:v>
      </x:c>
      <x:c r="C1007" s="143" t="n">
        <x:v>0.007923076923076923</x:v>
      </x:c>
      <x:c r="D1007" s="161" t="n">
        <x:v>1</x:v>
      </x:c>
      <x:c r="E1007" s="163" t="n">
        <x:v>-2759.5848423509215</x:v>
      </x:c>
      <x:c r="F1007" s="163" t="n">
        <x:v>0</x:v>
      </x:c>
      <x:c r="G1007" s="145" t="n">
        <x:v>0.026879812321815036</x:v>
      </x:c>
      <x:c r="H1007" s="145" t="n">
        <x:v>0.5</x:v>
      </x:c>
      <x:c r="I1007" s="136" t="str">
        <x:v>NONPOSITIVE-MODEL-MARGIN</x:v>
      </x:c>
      <x:c r="J1007" s="136" t="str">
        <x:v>V0.7-CONTROLLED-RESEARCH-SCREEN-NOT-DISTRIBUTION</x:v>
      </x:c>
    </x:row>
    <x:row r="1008" ht="22" customHeight="1">
      <x:c r="A1008" s="137" t="str">
        <x:v>SCR-1003</x:v>
      </x:c>
      <x:c r="B1008" s="142" t="n">
        <x:v>0.0000012205128205128203</x:v>
      </x:c>
      <x:c r="C1008" s="142" t="n">
        <x:v>0.00823076923076923</x:v>
      </x:c>
      <x:c r="D1008" s="160" t="n">
        <x:v>1</x:v>
      </x:c>
      <x:c r="E1008" s="162" t="n">
        <x:v>-2777.5772416882196</x:v>
      </x:c>
      <x:c r="F1008" s="162" t="n">
        <x:v>0</x:v>
      </x:c>
      <x:c r="G1008" s="144" t="n">
        <x:v>0.027175652159661896</x:v>
      </x:c>
      <x:c r="H1008" s="144" t="n">
        <x:v>0.5</x:v>
      </x:c>
      <x:c r="I1008" s="137" t="str">
        <x:v>NONPOSITIVE-MODEL-MARGIN</x:v>
      </x:c>
      <x:c r="J1008" s="137" t="str">
        <x:v>V0.7-CONTROLLED-RESEARCH-SCREEN-NOT-DISTRIBUTION</x:v>
      </x:c>
    </x:row>
    <x:row r="1009" ht="22" customHeight="1">
      <x:c r="A1009" s="136" t="str">
        <x:v>SCR-1004</x:v>
      </x:c>
      <x:c r="B1009" s="143" t="n">
        <x:v>0.0000012205128205128203</x:v>
      </x:c>
      <x:c r="C1009" s="143" t="n">
        <x:v>0.00853846153846154</x:v>
      </x:c>
      <x:c r="D1009" s="161" t="n">
        <x:v>1</x:v>
      </x:c>
      <x:c r="E1009" s="163" t="n">
        <x:v>-2795.5183530157447</x:v>
      </x:c>
      <x:c r="F1009" s="163" t="n">
        <x:v>0</x:v>
      </x:c>
      <x:c r="G1009" s="145" t="n">
        <x:v>0.02747149199750876</x:v>
      </x:c>
      <x:c r="H1009" s="145" t="n">
        <x:v>0.5</x:v>
      </x:c>
      <x:c r="I1009" s="136" t="str">
        <x:v>NONPOSITIVE-MODEL-MARGIN</x:v>
      </x:c>
      <x:c r="J1009" s="136" t="str">
        <x:v>V0.7-CONTROLLED-RESEARCH-SCREEN-NOT-DISTRIBUTION</x:v>
      </x:c>
    </x:row>
    <x:row r="1010" ht="22" customHeight="1">
      <x:c r="A1010" s="137" t="str">
        <x:v>SCR-1005</x:v>
      </x:c>
      <x:c r="B1010" s="142" t="n">
        <x:v>0.0000012205128205128203</x:v>
      </x:c>
      <x:c r="C1010" s="142" t="n">
        <x:v>0.008846153846153847</x:v>
      </x:c>
      <x:c r="D1010" s="160" t="n">
        <x:v>1</x:v>
      </x:c>
      <x:c r="E1010" s="162" t="n">
        <x:v>-2813.4085985358465</x:v>
      </x:c>
      <x:c r="F1010" s="162" t="n">
        <x:v>0</x:v>
      </x:c>
      <x:c r="G1010" s="144" t="n">
        <x:v>0.02776733183535562</x:v>
      </x:c>
      <x:c r="H1010" s="144" t="n">
        <x:v>0.5</x:v>
      </x:c>
      <x:c r="I1010" s="137" t="str">
        <x:v>NONPOSITIVE-MODEL-MARGIN</x:v>
      </x:c>
      <x:c r="J1010" s="137" t="str">
        <x:v>V0.7-CONTROLLED-RESEARCH-SCREEN-NOT-DISTRIBUTION</x:v>
      </x:c>
    </x:row>
    <x:row r="1011" ht="22" customHeight="1">
      <x:c r="A1011" s="136" t="str">
        <x:v>SCR-1006</x:v>
      </x:c>
      <x:c r="B1011" s="143" t="n">
        <x:v>0.0000012205128205128203</x:v>
      </x:c>
      <x:c r="C1011" s="143" t="n">
        <x:v>0.009153846153846155</x:v>
      </x:c>
      <x:c r="D1011" s="161" t="n">
        <x:v>1</x:v>
      </x:c>
      <x:c r="E1011" s="163" t="n">
        <x:v>-2831.2483937434777</x:v>
      </x:c>
      <x:c r="F1011" s="163" t="n">
        <x:v>0</x:v>
      </x:c>
      <x:c r="G1011" s="145" t="n">
        <x:v>0.028063171673202478</x:v>
      </x:c>
      <x:c r="H1011" s="145" t="n">
        <x:v>0.5</x:v>
      </x:c>
      <x:c r="I1011" s="136" t="str">
        <x:v>NONPOSITIVE-MODEL-MARGIN</x:v>
      </x:c>
      <x:c r="J1011" s="136" t="str">
        <x:v>V0.7-CONTROLLED-RESEARCH-SCREEN-NOT-DISTRIBUTION</x:v>
      </x:c>
    </x:row>
    <x:row r="1012" ht="22" customHeight="1">
      <x:c r="A1012" s="137" t="str">
        <x:v>SCR-1007</x:v>
      </x:c>
      <x:c r="B1012" s="142" t="n">
        <x:v>0.0000012205128205128203</x:v>
      </x:c>
      <x:c r="C1012" s="142" t="n">
        <x:v>0.009461538461538462</x:v>
      </x:c>
      <x:c r="D1012" s="160" t="n">
        <x:v>1</x:v>
      </x:c>
      <x:c r="E1012" s="162" t="n">
        <x:v>-2849.0381475661775</x:v>
      </x:c>
      <x:c r="F1012" s="162" t="n">
        <x:v>0</x:v>
      </x:c>
      <x:c r="G1012" s="144" t="n">
        <x:v>0.02835901151104935</x:v>
      </x:c>
      <x:c r="H1012" s="144" t="n">
        <x:v>0.5</x:v>
      </x:c>
      <x:c r="I1012" s="137" t="str">
        <x:v>NONPOSITIVE-MODEL-MARGIN</x:v>
      </x:c>
      <x:c r="J1012" s="137" t="str">
        <x:v>V0.7-CONTROLLED-RESEARCH-SCREEN-NOT-DISTRIBUTION</x:v>
      </x:c>
    </x:row>
    <x:row r="1013" ht="22" customHeight="1">
      <x:c r="A1013" s="136" t="str">
        <x:v>SCR-1008</x:v>
      </x:c>
      <x:c r="B1013" s="143" t="n">
        <x:v>0.0000012205128205128203</x:v>
      </x:c>
      <x:c r="C1013" s="143" t="n">
        <x:v>0.00976923076923077</x:v>
      </x:c>
      <x:c r="D1013" s="161" t="n">
        <x:v>1</x:v>
      </x:c>
      <x:c r="E1013" s="163" t="n">
        <x:v>-2866.778262501294</x:v>
      </x:c>
      <x:c r="F1013" s="163" t="n">
        <x:v>0</x:v>
      </x:c>
      <x:c r="G1013" s="145" t="n">
        <x:v>0.028654851348896202</x:v>
      </x:c>
      <x:c r="H1013" s="145" t="n">
        <x:v>0.5</x:v>
      </x:c>
      <x:c r="I1013" s="136" t="str">
        <x:v>NONPOSITIVE-MODEL-MARGIN</x:v>
      </x:c>
      <x:c r="J1013" s="136" t="str">
        <x:v>V0.7-CONTROLLED-RESEARCH-SCREEN-NOT-DISTRIBUTION</x:v>
      </x:c>
    </x:row>
    <x:row r="1014" ht="22" customHeight="1">
      <x:c r="A1014" s="137" t="str">
        <x:v>SCR-1009</x:v>
      </x:c>
      <x:c r="B1014" s="142" t="n">
        <x:v>0.0000012205128205128203</x:v>
      </x:c>
      <x:c r="C1014" s="142" t="n">
        <x:v>0.010076923076923077</x:v>
      </x:c>
      <x:c r="D1014" s="160" t="n">
        <x:v>1</x:v>
      </x:c>
      <x:c r="E1014" s="162" t="n">
        <x:v>-2884.4691347502417</x:v>
      </x:c>
      <x:c r="F1014" s="162" t="n">
        <x:v>0</x:v>
      </x:c>
      <x:c r="G1014" s="144" t="n">
        <x:v>0.028950691186743066</x:v>
      </x:c>
      <x:c r="H1014" s="144" t="n">
        <x:v>0.5</x:v>
      </x:c>
      <x:c r="I1014" s="137" t="str">
        <x:v>NONPOSITIVE-MODEL-MARGIN</x:v>
      </x:c>
      <x:c r="J1014" s="137" t="str">
        <x:v>V0.7-CONTROLLED-RESEARCH-SCREEN-NOT-DISTRIBUTION</x:v>
      </x:c>
    </x:row>
    <x:row r="1015" ht="22" customHeight="1">
      <x:c r="A1015" s="136" t="str">
        <x:v>SCR-1010</x:v>
      </x:c>
      <x:c r="B1015" s="143" t="n">
        <x:v>0.0000012205128205128203</x:v>
      </x:c>
      <x:c r="C1015" s="143" t="n">
        <x:v>0.010384615384615384</x:v>
      </x:c>
      <x:c r="D1015" s="161" t="n">
        <x:v>1</x:v>
      </x:c>
      <x:c r="E1015" s="163" t="n">
        <x:v>-2902.1111543499496</x:v>
      </x:c>
      <x:c r="F1015" s="163" t="n">
        <x:v>0</x:v>
      </x:c>
      <x:c r="G1015" s="145" t="n">
        <x:v>0.029246531024589923</x:v>
      </x:c>
      <x:c r="H1015" s="145" t="n">
        <x:v>0.5</x:v>
      </x:c>
      <x:c r="I1015" s="136" t="str">
        <x:v>NONPOSITIVE-MODEL-MARGIN</x:v>
      </x:c>
      <x:c r="J1015" s="136" t="str">
        <x:v>V0.7-CONTROLLED-RESEARCH-SCREEN-NOT-DISTRIBUTION</x:v>
      </x:c>
    </x:row>
    <x:row r="1016" ht="22" customHeight="1">
      <x:c r="A1016" s="137" t="str">
        <x:v>SCR-1011</x:v>
      </x:c>
      <x:c r="B1016" s="142" t="n">
        <x:v>0.0000012205128205128203</x:v>
      </x:c>
      <x:c r="C1016" s="142" t="n">
        <x:v>0.010692307692307692</x:v>
      </x:c>
      <x:c r="D1016" s="160" t="n">
        <x:v>1</x:v>
      </x:c>
      <x:c r="E1016" s="162" t="n">
        <x:v>-2919.7047053014667</x:v>
      </x:c>
      <x:c r="F1016" s="162" t="n">
        <x:v>0</x:v>
      </x:c>
      <x:c r="G1016" s="144" t="n">
        <x:v>0.02954237086243678</x:v>
      </x:c>
      <x:c r="H1016" s="144" t="n">
        <x:v>0.5</x:v>
      </x:c>
      <x:c r="I1016" s="137" t="str">
        <x:v>NONPOSITIVE-MODEL-MARGIN</x:v>
      </x:c>
      <x:c r="J1016" s="137" t="str">
        <x:v>V0.7-CONTROLLED-RESEARCH-SCREEN-NOT-DISTRIBUTION</x:v>
      </x:c>
    </x:row>
    <x:row r="1017" ht="22" customHeight="1">
      <x:c r="A1017" s="136" t="str">
        <x:v>SCR-1012</x:v>
      </x:c>
      <x:c r="B1017" s="143" t="n">
        <x:v>0.0000012205128205128203</x:v>
      </x:c>
      <x:c r="C1017" s="143" t="n">
        <x:v>0.011</x:v>
      </x:c>
      <x:c r="D1017" s="161" t="n">
        <x:v>1</x:v>
      </x:c>
      <x:c r="E1017" s="163" t="n">
        <x:v>-2937.2501656956665</x:v>
      </x:c>
      <x:c r="F1017" s="163" t="n">
        <x:v>0</x:v>
      </x:c>
      <x:c r="G1017" s="145" t="n">
        <x:v>0.02983821070028365</x:v>
      </x:c>
      <x:c r="H1017" s="145" t="n">
        <x:v>0.5</x:v>
      </x:c>
      <x:c r="I1017" s="136" t="str">
        <x:v>NONPOSITIVE-MODEL-MARGIN</x:v>
      </x:c>
      <x:c r="J1017" s="136" t="str">
        <x:v>V0.7-CONTROLLED-RESEARCH-SCREEN-NOT-DISTRIBUTION</x:v>
      </x:c>
    </x:row>
    <x:row r="1018" ht="22" customHeight="1">
      <x:c r="A1018" s="137" t="str">
        <x:v>SCR-1013</x:v>
      </x:c>
      <x:c r="B1018" s="142" t="n">
        <x:v>0.0000012205128205128203</x:v>
      </x:c>
      <x:c r="C1018" s="142" t="n">
        <x:v>0.011307692307692307</x:v>
      </x:c>
      <x:c r="D1018" s="160" t="n">
        <x:v>1</x:v>
      </x:c>
      <x:c r="E1018" s="162" t="n">
        <x:v>-2954.7479078362403</x:v>
      </x:c>
      <x:c r="F1018" s="162" t="n">
        <x:v>0</x:v>
      </x:c>
      <x:c r="G1018" s="144" t="n">
        <x:v>0.030134050538130508</x:v>
      </x:c>
      <x:c r="H1018" s="144" t="n">
        <x:v>0.5</x:v>
      </x:c>
      <x:c r="I1018" s="137" t="str">
        <x:v>NONPOSITIVE-MODEL-MARGIN</x:v>
      </x:c>
      <x:c r="J1018" s="137" t="str">
        <x:v>V0.7-CONTROLLED-RESEARCH-SCREEN-NOT-DISTRIBUTION</x:v>
      </x:c>
    </x:row>
    <x:row r="1019" ht="22" customHeight="1">
      <x:c r="A1019" s="136" t="str">
        <x:v>SCR-1014</x:v>
      </x:c>
      <x:c r="B1019" s="143" t="n">
        <x:v>0.0000012205128205128203</x:v>
      </x:c>
      <x:c r="C1019" s="143" t="n">
        <x:v>0.011615384615384614</x:v>
      </x:c>
      <x:c r="D1019" s="161" t="n">
        <x:v>1</x:v>
      </x:c>
      <x:c r="E1019" s="163" t="n">
        <x:v>-2972.198298359834</x:v>
      </x:c>
      <x:c r="F1019" s="163" t="n">
        <x:v>0</x:v>
      </x:c>
      <x:c r="G1019" s="145" t="n">
        <x:v>0.03042989037597737</x:v>
      </x:c>
      <x:c r="H1019" s="145" t="n">
        <x:v>0.5</x:v>
      </x:c>
      <x:c r="I1019" s="136" t="str">
        <x:v>NONPOSITIVE-MODEL-MARGIN</x:v>
      </x:c>
      <x:c r="J1019" s="136" t="str">
        <x:v>V0.7-CONTROLLED-RESEARCH-SCREEN-NOT-DISTRIBUTION</x:v>
      </x:c>
    </x:row>
    <x:row r="1020" ht="22" customHeight="1">
      <x:c r="A1020" s="137" t="str">
        <x:v>SCR-1015</x:v>
      </x:c>
      <x:c r="B1020" s="142" t="n">
        <x:v>0.0000012205128205128203</x:v>
      </x:c>
      <x:c r="C1020" s="142" t="n">
        <x:v>0.011923076923076925</x:v>
      </x:c>
      <x:c r="D1020" s="160" t="n">
        <x:v>1</x:v>
      </x:c>
      <x:c r="E1020" s="162" t="n">
        <x:v>-2989.601698353492</x:v>
      </x:c>
      <x:c r="F1020" s="162" t="n">
        <x:v>0</x:v>
      </x:c>
      <x:c r="G1020" s="144" t="n">
        <x:v>0.030725730213824236</x:v>
      </x:c>
      <x:c r="H1020" s="144" t="n">
        <x:v>0.5</x:v>
      </x:c>
      <x:c r="I1020" s="137" t="str">
        <x:v>NONPOSITIVE-MODEL-MARGIN</x:v>
      </x:c>
      <x:c r="J1020" s="137" t="str">
        <x:v>V0.7-CONTROLLED-RESEARCH-SCREEN-NOT-DISTRIBUTION</x:v>
      </x:c>
    </x:row>
    <x:row r="1021" ht="22" customHeight="1">
      <x:c r="A1021" s="136" t="str">
        <x:v>SCR-1016</x:v>
      </x:c>
      <x:c r="B1021" s="143" t="n">
        <x:v>0.0000012205128205128203</x:v>
      </x:c>
      <x:c r="C1021" s="143" t="n">
        <x:v>0.012230769230769233</x:v>
      </x:c>
      <x:c r="D1021" s="161" t="n">
        <x:v>1</x:v>
      </x:c>
      <x:c r="E1021" s="163" t="n">
        <x:v>-3006.958463469417</x:v>
      </x:c>
      <x:c r="F1021" s="163" t="n">
        <x:v>0</x:v>
      </x:c>
      <x:c r="G1021" s="145" t="n">
        <x:v>0.0310215700516711</x:v>
      </x:c>
      <x:c r="H1021" s="145" t="n">
        <x:v>0.5</x:v>
      </x:c>
      <x:c r="I1021" s="136" t="str">
        <x:v>NONPOSITIVE-MODEL-MARGIN</x:v>
      </x:c>
      <x:c r="J1021" s="136" t="str">
        <x:v>V0.7-CONTROLLED-RESEARCH-SCREEN-NOT-DISTRIBUTION</x:v>
      </x:c>
    </x:row>
    <x:row r="1022" ht="22" customHeight="1">
      <x:c r="A1022" s="137" t="str">
        <x:v>SCR-1017</x:v>
      </x:c>
      <x:c r="B1022" s="142" t="n">
        <x:v>0.0000012205128205128203</x:v>
      </x:c>
      <x:c r="C1022" s="142" t="n">
        <x:v>0.01253846153846154</x:v>
      </x:c>
      <x:c r="D1022" s="160" t="n">
        <x:v>1</x:v>
      </x:c>
      <x:c r="E1022" s="162" t="n">
        <x:v>-3024.2689440370095</x:v>
      </x:c>
      <x:c r="F1022" s="162" t="n">
        <x:v>0</x:v>
      </x:c>
      <x:c r="G1022" s="144" t="n">
        <x:v>0.03131740988951795</x:v>
      </x:c>
      <x:c r="H1022" s="144" t="n">
        <x:v>0.5</x:v>
      </x:c>
      <x:c r="I1022" s="137" t="str">
        <x:v>NONPOSITIVE-MODEL-MARGIN</x:v>
      </x:c>
      <x:c r="J1022" s="137" t="str">
        <x:v>V0.7-CONTROLLED-RESEARCH-SCREEN-NOT-DISTRIBUTION</x:v>
      </x:c>
    </x:row>
    <x:row r="1023" ht="22" customHeight="1">
      <x:c r="A1023" s="136" t="str">
        <x:v>SCR-1018</x:v>
      </x:c>
      <x:c r="B1023" s="143" t="n">
        <x:v>0.0000012205128205128203</x:v>
      </x:c>
      <x:c r="C1023" s="143" t="n">
        <x:v>0.012846153846153847</x:v>
      </x:c>
      <x:c r="D1023" s="161" t="n">
        <x:v>1</x:v>
      </x:c>
      <x:c r="E1023" s="163" t="n">
        <x:v>-3041.533485172385</x:v>
      </x:c>
      <x:c r="F1023" s="163" t="n">
        <x:v>0</x:v>
      </x:c>
      <x:c r="G1023" s="145" t="n">
        <x:v>0.03161324972736482</x:v>
      </x:c>
      <x:c r="H1023" s="145" t="n">
        <x:v>0.5</x:v>
      </x:c>
      <x:c r="I1023" s="136" t="str">
        <x:v>NONPOSITIVE-MODEL-MARGIN</x:v>
      </x:c>
      <x:c r="J1023" s="136" t="str">
        <x:v>V0.7-CONTROLLED-RESEARCH-SCREEN-NOT-DISTRIBUTION</x:v>
      </x:c>
    </x:row>
    <x:row r="1024" ht="22" customHeight="1">
      <x:c r="A1024" s="137" t="str">
        <x:v>SCR-1019</x:v>
      </x:c>
      <x:c r="B1024" s="142" t="n">
        <x:v>0.0000012205128205128203</x:v>
      </x:c>
      <x:c r="C1024" s="142" t="n">
        <x:v>0.013153846153846155</x:v>
      </x:c>
      <x:c r="D1024" s="160" t="n">
        <x:v>1</x:v>
      </x:c>
      <x:c r="E1024" s="162" t="n">
        <x:v>-3058.7524268852335</x:v>
      </x:c>
      <x:c r="F1024" s="162" t="n">
        <x:v>0</x:v>
      </x:c>
      <x:c r="G1024" s="144" t="n">
        <x:v>0.03190908956521168</x:v>
      </x:c>
      <x:c r="H1024" s="144" t="n">
        <x:v>0.5</x:v>
      </x:c>
      <x:c r="I1024" s="137" t="str">
        <x:v>NONPOSITIVE-MODEL-MARGIN</x:v>
      </x:c>
      <x:c r="J1024" s="137" t="str">
        <x:v>V0.7-CONTROLLED-RESEARCH-SCREEN-NOT-DISTRIBUTION</x:v>
      </x:c>
    </x:row>
    <x:row r="1025" ht="22" customHeight="1">
      <x:c r="A1025" s="136" t="str">
        <x:v>SCR-1020</x:v>
      </x:c>
      <x:c r="B1025" s="143" t="n">
        <x:v>0.0000012205128205128203</x:v>
      </x:c>
      <x:c r="C1025" s="143" t="n">
        <x:v>0.013461538461538462</x:v>
      </x:c>
      <x:c r="D1025" s="161" t="n">
        <x:v>1</x:v>
      </x:c>
      <x:c r="E1025" s="163" t="n">
        <x:v>-3075.9261041832597</x:v>
      </x:c>
      <x:c r="F1025" s="163" t="n">
        <x:v>0</x:v>
      </x:c>
      <x:c r="G1025" s="145" t="n">
        <x:v>0.03220492940305854</x:v>
      </x:c>
      <x:c r="H1025" s="145" t="n">
        <x:v>0.5</x:v>
      </x:c>
      <x:c r="I1025" s="136" t="str">
        <x:v>NONPOSITIVE-MODEL-MARGIN</x:v>
      </x:c>
      <x:c r="J1025" s="136" t="str">
        <x:v>V0.7-CONTROLLED-RESEARCH-SCREEN-NOT-DISTRIBUTION</x:v>
      </x:c>
    </x:row>
    <x:row r="1026" ht="22" customHeight="1">
      <x:c r="A1026" s="137" t="str">
        <x:v>SCR-1021</x:v>
      </x:c>
      <x:c r="B1026" s="142" t="n">
        <x:v>0.0000012205128205128203</x:v>
      </x:c>
      <x:c r="C1026" s="142" t="n">
        <x:v>0.01376923076923077</x:v>
      </x:c>
      <x:c r="D1026" s="160" t="n">
        <x:v>1</x:v>
      </x:c>
      <x:c r="E1026" s="162" t="n">
        <x:v>-3093.05484717406</x:v>
      </x:c>
      <x:c r="F1026" s="162" t="n">
        <x:v>0</x:v>
      </x:c>
      <x:c r="G1026" s="144" t="n">
        <x:v>0.032500769240905406</x:v>
      </x:c>
      <x:c r="H1026" s="144" t="n">
        <x:v>0.5</x:v>
      </x:c>
      <x:c r="I1026" s="137" t="str">
        <x:v>NONPOSITIVE-MODEL-MARGIN</x:v>
      </x:c>
      <x:c r="J1026" s="137" t="str">
        <x:v>V0.7-CONTROLLED-RESEARCH-SCREEN-NOT-DISTRIBUTION</x:v>
      </x:c>
    </x:row>
    <x:row r="1027" ht="22" customHeight="1">
      <x:c r="A1027" s="136" t="str">
        <x:v>SCR-1022</x:v>
      </x:c>
      <x:c r="B1027" s="143" t="n">
        <x:v>0.0000012205128205128203</x:v>
      </x:c>
      <x:c r="C1027" s="143" t="n">
        <x:v>0.014076923076923077</x:v>
      </x:c>
      <x:c r="D1027" s="161" t="n">
        <x:v>1</x:v>
      </x:c>
      <x:c r="E1027" s="163" t="n">
        <x:v>-3110.138981164679</x:v>
      </x:c>
      <x:c r="F1027" s="163" t="n">
        <x:v>0</x:v>
      </x:c>
      <x:c r="G1027" s="145" t="n">
        <x:v>0.03279660907875226</x:v>
      </x:c>
      <x:c r="H1027" s="145" t="n">
        <x:v>0.5</x:v>
      </x:c>
      <x:c r="I1027" s="136" t="str">
        <x:v>NONPOSITIVE-MODEL-MARGIN</x:v>
      </x:c>
      <x:c r="J1027" s="136" t="str">
        <x:v>V0.7-CONTROLLED-RESEARCH-SCREEN-NOT-DISTRIBUTION</x:v>
      </x:c>
    </x:row>
    <x:row r="1028" ht="22" customHeight="1">
      <x:c r="A1028" s="137" t="str">
        <x:v>SCR-1023</x:v>
      </x:c>
      <x:c r="B1028" s="142" t="n">
        <x:v>0.0000012205128205128203</x:v>
      </x:c>
      <x:c r="C1028" s="142" t="n">
        <x:v>0.014384615384615385</x:v>
      </x:c>
      <x:c r="D1028" s="160" t="n">
        <x:v>1</x:v>
      </x:c>
      <x:c r="E1028" s="162" t="n">
        <x:v>-3127.178826758713</x:v>
      </x:c>
      <x:c r="F1028" s="162" t="n">
        <x:v>0</x:v>
      </x:c>
      <x:c r="G1028" s="144" t="n">
        <x:v>0.03309244891659912</x:v>
      </x:c>
      <x:c r="H1028" s="144" t="n">
        <x:v>0.5</x:v>
      </x:c>
      <x:c r="I1028" s="137" t="str">
        <x:v>NONPOSITIVE-MODEL-MARGIN</x:v>
      </x:c>
      <x:c r="J1028" s="137" t="str">
        <x:v>V0.7-CONTROLLED-RESEARCH-SCREEN-NOT-DISTRIBUTION</x:v>
      </x:c>
    </x:row>
    <x:row r="1029" ht="22" customHeight="1">
      <x:c r="A1029" s="136" t="str">
        <x:v>SCR-1024</x:v>
      </x:c>
      <x:c r="B1029" s="143" t="n">
        <x:v>0.0000012205128205128203</x:v>
      </x:c>
      <x:c r="C1029" s="143" t="n">
        <x:v>0.014692307692307692</x:v>
      </x:c>
      <x:c r="D1029" s="161" t="n">
        <x:v>1</x:v>
      </x:c>
      <x:c r="E1029" s="163" t="n">
        <x:v>-3144.174699951181</x:v>
      </x:c>
      <x:c r="F1029" s="163" t="n">
        <x:v>0</x:v>
      </x:c>
      <x:c r="G1029" s="145" t="n">
        <x:v>0.03338828875444598</x:v>
      </x:c>
      <x:c r="H1029" s="145" t="n">
        <x:v>0.5</x:v>
      </x:c>
      <x:c r="I1029" s="136" t="str">
        <x:v>NONPOSITIVE-MODEL-MARGIN</x:v>
      </x:c>
      <x:c r="J1029" s="136" t="str">
        <x:v>V0.7-CONTROLLED-RESEARCH-SCREEN-NOT-DISTRIBUTION</x:v>
      </x:c>
    </x:row>
    <x:row r="1030" ht="22" customHeight="1">
      <x:c r="A1030" s="137" t="str">
        <x:v>SCR-1025</x:v>
      </x:c>
      <x:c r="B1030" s="142" t="n">
        <x:v>0.0000012205128205128203</x:v>
      </x:c>
      <x:c r="C1030" s="142" t="n">
        <x:v>0.015</x:v>
      </x:c>
      <x:c r="D1030" s="160" t="n">
        <x:v>1</x:v>
      </x:c>
      <x:c r="E1030" s="162" t="n">
        <x:v>-3161.12691222106</x:v>
      </x:c>
      <x:c r="F1030" s="162" t="n">
        <x:v>0</x:v>
      </x:c>
      <x:c r="G1030" s="144" t="n">
        <x:v>0.03368412859229285</x:v>
      </x:c>
      <x:c r="H1030" s="144" t="n">
        <x:v>0.5</x:v>
      </x:c>
      <x:c r="I1030" s="137" t="str">
        <x:v>NONPOSITIVE-MODEL-MARGIN</x:v>
      </x:c>
      <x:c r="J1030" s="137" t="str">
        <x:v>V0.7-CONTROLLED-RESEARCH-SCREEN-NOT-DISTRIBUTION</x:v>
      </x:c>
    </x:row>
    <x:row r="1031" ht="22" customHeight="1">
      <x:c r="A1031" s="136" t="str">
        <x:v>SCR-1026</x:v>
      </x:c>
      <x:c r="B1031" s="143" t="n">
        <x:v>0.0000012692307692307692</x:v>
      </x:c>
      <x:c r="C1031" s="143" t="n">
        <x:v>0.003</x:v>
      </x:c>
      <x:c r="D1031" s="161" t="n">
        <x:v>1</x:v>
      </x:c>
      <x:c r="E1031" s="163" t="n">
        <x:v>-2508.39299843042</x:v>
      </x:c>
      <x:c r="F1031" s="163" t="n">
        <x:v>0</x:v>
      </x:c>
      <x:c r="G1031" s="145" t="n">
        <x:v>0.02286175087896545</x:v>
      </x:c>
      <x:c r="H1031" s="145" t="n">
        <x:v>0.5</x:v>
      </x:c>
      <x:c r="I1031" s="136" t="str">
        <x:v>NONPOSITIVE-MODEL-MARGIN</x:v>
      </x:c>
      <x:c r="J1031" s="136" t="str">
        <x:v>V0.7-CONTROLLED-RESEARCH-SCREEN-NOT-DISTRIBUTION</x:v>
      </x:c>
    </x:row>
    <x:row r="1032" ht="22" customHeight="1">
      <x:c r="A1032" s="137" t="str">
        <x:v>SCR-1027</x:v>
      </x:c>
      <x:c r="B1032" s="142" t="n">
        <x:v>0.0000012692307692307692</x:v>
      </x:c>
      <x:c r="C1032" s="142" t="n">
        <x:v>0.003307692307692308</x:v>
      </x:c>
      <x:c r="D1032" s="160" t="n">
        <x:v>1</x:v>
      </x:c>
      <x:c r="E1032" s="162" t="n">
        <x:v>-2527.144914271097</x:v>
      </x:c>
      <x:c r="F1032" s="162" t="n">
        <x:v>0</x:v>
      </x:c>
      <x:c r="G1032" s="144" t="n">
        <x:v>0.023157147855987315</x:v>
      </x:c>
      <x:c r="H1032" s="144" t="n">
        <x:v>0.5</x:v>
      </x:c>
      <x:c r="I1032" s="137" t="str">
        <x:v>NONPOSITIVE-MODEL-MARGIN</x:v>
      </x:c>
      <x:c r="J1032" s="137" t="str">
        <x:v>V0.7-CONTROLLED-RESEARCH-SCREEN-NOT-DISTRIBUTION</x:v>
      </x:c>
    </x:row>
    <x:row r="1033" ht="22" customHeight="1">
      <x:c r="A1033" s="136" t="str">
        <x:v>SCR-1028</x:v>
      </x:c>
      <x:c r="B1033" s="143" t="n">
        <x:v>0.0000012692307692307692</x:v>
      </x:c>
      <x:c r="C1033" s="143" t="n">
        <x:v>0.0036153846153846154</x:v>
      </x:c>
      <x:c r="D1033" s="161" t="n">
        <x:v>1</x:v>
      </x:c>
      <x:c r="E1033" s="163" t="n">
        <x:v>-2545.8389372871898</x:v>
      </x:c>
      <x:c r="F1033" s="163" t="n">
        <x:v>0</x:v>
      </x:c>
      <x:c r="G1033" s="145" t="n">
        <x:v>0.02345254483300918</x:v>
      </x:c>
      <x:c r="H1033" s="145" t="n">
        <x:v>0.5</x:v>
      </x:c>
      <x:c r="I1033" s="136" t="str">
        <x:v>NONPOSITIVE-MODEL-MARGIN</x:v>
      </x:c>
      <x:c r="J1033" s="136" t="str">
        <x:v>V0.7-CONTROLLED-RESEARCH-SCREEN-NOT-DISTRIBUTION</x:v>
      </x:c>
    </x:row>
    <x:row r="1034" ht="22" customHeight="1">
      <x:c r="A1034" s="137" t="str">
        <x:v>SCR-1029</x:v>
      </x:c>
      <x:c r="B1034" s="142" t="n">
        <x:v>0.0000012692307692307692</x:v>
      </x:c>
      <x:c r="C1034" s="142" t="n">
        <x:v>0.003923076923076923</x:v>
      </x:c>
      <x:c r="D1034" s="160" t="n">
        <x:v>1</x:v>
      </x:c>
      <x:c r="E1034" s="162" t="n">
        <x:v>-2564.4755998018036</x:v>
      </x:c>
      <x:c r="F1034" s="162" t="n">
        <x:v>0</x:v>
      </x:c>
      <x:c r="G1034" s="144" t="n">
        <x:v>0.023747941810031047</x:v>
      </x:c>
      <x:c r="H1034" s="144" t="n">
        <x:v>0.5</x:v>
      </x:c>
      <x:c r="I1034" s="137" t="str">
        <x:v>NONPOSITIVE-MODEL-MARGIN</x:v>
      </x:c>
      <x:c r="J1034" s="137" t="str">
        <x:v>V0.7-CONTROLLED-RESEARCH-SCREEN-NOT-DISTRIBUTION</x:v>
      </x:c>
    </x:row>
    <x:row r="1035" ht="22" customHeight="1">
      <x:c r="A1035" s="136" t="str">
        <x:v>SCR-1030</x:v>
      </x:c>
      <x:c r="B1035" s="143" t="n">
        <x:v>0.0000012692307692307692</x:v>
      </x:c>
      <x:c r="C1035" s="143" t="n">
        <x:v>0.004230769230769231</x:v>
      </x:c>
      <x:c r="D1035" s="161" t="n">
        <x:v>1</x:v>
      </x:c>
      <x:c r="E1035" s="163" t="n">
        <x:v>-2583.0554251226213</x:v>
      </x:c>
      <x:c r="F1035" s="163" t="n">
        <x:v>0</x:v>
      </x:c>
      <x:c r="G1035" s="145" t="n">
        <x:v>0.02404333878705291</x:v>
      </x:c>
      <x:c r="H1035" s="145" t="n">
        <x:v>0.5</x:v>
      </x:c>
      <x:c r="I1035" s="136" t="str">
        <x:v>NONPOSITIVE-MODEL-MARGIN</x:v>
      </x:c>
      <x:c r="J1035" s="136" t="str">
        <x:v>V0.7-CONTROLLED-RESEARCH-SCREEN-NOT-DISTRIBUTION</x:v>
      </x:c>
    </x:row>
    <x:row r="1036" ht="22" customHeight="1">
      <x:c r="A1036" s="137" t="str">
        <x:v>SCR-1031</x:v>
      </x:c>
      <x:c r="B1036" s="142" t="n">
        <x:v>0.0000012692307692307692</x:v>
      </x:c>
      <x:c r="C1036" s="142" t="n">
        <x:v>0.004538461538461538</x:v>
      </x:c>
      <x:c r="D1036" s="160" t="n">
        <x:v>1</x:v>
      </x:c>
      <x:c r="E1036" s="162" t="n">
        <x:v>-2601.578927719612</x:v>
      </x:c>
      <x:c r="F1036" s="162" t="n">
        <x:v>0</x:v>
      </x:c>
      <x:c r="G1036" s="144" t="n">
        <x:v>0.024338735764074786</x:v>
      </x:c>
      <x:c r="H1036" s="144" t="n">
        <x:v>0.5</x:v>
      </x:c>
      <x:c r="I1036" s="137" t="str">
        <x:v>NONPOSITIVE-MODEL-MARGIN</x:v>
      </x:c>
      <x:c r="J1036" s="137" t="str">
        <x:v>V0.7-CONTROLLED-RESEARCH-SCREEN-NOT-DISTRIBUTION</x:v>
      </x:c>
    </x:row>
    <x:row r="1037" ht="22" customHeight="1">
      <x:c r="A1037" s="136" t="str">
        <x:v>SCR-1032</x:v>
      </x:c>
      <x:c r="B1037" s="143" t="n">
        <x:v>0.0000012692307692307692</x:v>
      </x:c>
      <x:c r="C1037" s="143" t="n">
        <x:v>0.004846153846153846</x:v>
      </x:c>
      <x:c r="D1037" s="161" t="n">
        <x:v>1</x:v>
      </x:c>
      <x:c r="E1037" s="163" t="n">
        <x:v>-2620.046613401632</x:v>
      </x:c>
      <x:c r="F1037" s="163" t="n">
        <x:v>0</x:v>
      </x:c>
      <x:c r="G1037" s="145" t="n">
        <x:v>0.024634132741096645</x:v>
      </x:c>
      <x:c r="H1037" s="145" t="n">
        <x:v>0.5</x:v>
      </x:c>
      <x:c r="I1037" s="136" t="str">
        <x:v>NONPOSITIVE-MODEL-MARGIN</x:v>
      </x:c>
      <x:c r="J1037" s="136" t="str">
        <x:v>V0.7-CONTROLLED-RESEARCH-SCREEN-NOT-DISTRIBUTION</x:v>
      </x:c>
    </x:row>
    <x:row r="1038" ht="22" customHeight="1">
      <x:c r="A1038" s="137" t="str">
        <x:v>SCR-1033</x:v>
      </x:c>
      <x:c r="B1038" s="142" t="n">
        <x:v>0.0000012692307692307692</x:v>
      </x:c>
      <x:c r="C1038" s="142" t="n">
        <x:v>0.005</x:v>
      </x:c>
      <x:c r="D1038" s="160" t="n">
        <x:v>1</x:v>
      </x:c>
      <x:c r="E1038" s="162" t="n">
        <x:v>-2629.2596806395977</x:v>
      </x:c>
      <x:c r="F1038" s="162" t="n">
        <x:v>0</x:v>
      </x:c>
      <x:c r="G1038" s="144" t="n">
        <x:v>0.02478183122960758</x:v>
      </x:c>
      <x:c r="H1038" s="144" t="n">
        <x:v>0.5</x:v>
      </x:c>
      <x:c r="I1038" s="137" t="str">
        <x:v>NONPOSITIVE-MODEL-MARGIN</x:v>
      </x:c>
      <x:c r="J1038" s="137" t="str">
        <x:v>V0.7-CONTROLLED-RESEARCH-SCREEN-NOT-DISTRIBUTION</x:v>
      </x:c>
    </x:row>
    <x:row r="1039" ht="22" customHeight="1">
      <x:c r="A1039" s="136" t="str">
        <x:v>SCR-1034</x:v>
      </x:c>
      <x:c r="B1039" s="143" t="n">
        <x:v>0.0000012692307692307692</x:v>
      </x:c>
      <x:c r="C1039" s="143" t="n">
        <x:v>0.005153846153846154</x:v>
      </x:c>
      <x:c r="D1039" s="161" t="n">
        <x:v>1</x:v>
      </x:c>
      <x:c r="E1039" s="163" t="n">
        <x:v>-2638.4589794913327</x:v>
      </x:c>
      <x:c r="F1039" s="163" t="n">
        <x:v>0</x:v>
      </x:c>
      <x:c r="G1039" s="145" t="n">
        <x:v>0.024929529718118515</x:v>
      </x:c>
      <x:c r="H1039" s="145" t="n">
        <x:v>0.5</x:v>
      </x:c>
      <x:c r="I1039" s="136" t="str">
        <x:v>NONPOSITIVE-MODEL-MARGIN</x:v>
      </x:c>
      <x:c r="J1039" s="136" t="str">
        <x:v>V0.7-CONTROLLED-RESEARCH-SCREEN-NOT-DISTRIBUTION</x:v>
      </x:c>
    </x:row>
    <x:row r="1040" ht="22" customHeight="1">
      <x:c r="A1040" s="137" t="str">
        <x:v>SCR-1035</x:v>
      </x:c>
      <x:c r="B1040" s="142" t="n">
        <x:v>0.0000012692307692307692</x:v>
      </x:c>
      <x:c r="C1040" s="142" t="n">
        <x:v>0.005461538461538462</x:v>
      </x:c>
      <x:c r="D1040" s="160" t="n">
        <x:v>1</x:v>
      </x:c>
      <x:c r="E1040" s="162" t="n">
        <x:v>-2656.816514998249</x:v>
      </x:c>
      <x:c r="F1040" s="162" t="n">
        <x:v>0</x:v>
      </x:c>
      <x:c r="G1040" s="144" t="n">
        <x:v>0.025224926695140384</x:v>
      </x:c>
      <x:c r="H1040" s="144" t="n">
        <x:v>0.5</x:v>
      </x:c>
      <x:c r="I1040" s="137" t="str">
        <x:v>NONPOSITIVE-MODEL-MARGIN</x:v>
      </x:c>
      <x:c r="J1040" s="137" t="str">
        <x:v>V0.7-CONTROLLED-RESEARCH-SCREEN-NOT-DISTRIBUTION</x:v>
      </x:c>
    </x:row>
    <x:row r="1041" ht="22" customHeight="1">
      <x:c r="A1041" s="136" t="str">
        <x:v>SCR-1036</x:v>
      </x:c>
      <x:c r="B1041" s="143" t="n">
        <x:v>0.0000012692307692307692</x:v>
      </x:c>
      <x:c r="C1041" s="143" t="n">
        <x:v>0.0057692307692307696</x:v>
      </x:c>
      <x:c r="D1041" s="161" t="n">
        <x:v>1</x:v>
      </x:c>
      <x:c r="E1041" s="163" t="n">
        <x:v>-2678.762129311488</x:v>
      </x:c>
      <x:c r="F1041" s="163" t="n">
        <x:v>0</x:v>
      </x:c>
      <x:c r="G1041" s="145" t="n">
        <x:v>0.025520323672162247</x:v>
      </x:c>
      <x:c r="H1041" s="145" t="n">
        <x:v>0.5</x:v>
      </x:c>
      <x:c r="I1041" s="136" t="str">
        <x:v>NONPOSITIVE-MODEL-MARGIN</x:v>
      </x:c>
      <x:c r="J1041" s="136" t="str">
        <x:v>V0.7-CONTROLLED-RESEARCH-SCREEN-NOT-DISTRIBUTION</x:v>
      </x:c>
    </x:row>
    <x:row r="1042" ht="22" customHeight="1">
      <x:c r="A1042" s="137" t="str">
        <x:v>SCR-1037</x:v>
      </x:c>
      <x:c r="B1042" s="142" t="n">
        <x:v>0.0000012692307692307692</x:v>
      </x:c>
      <x:c r="C1042" s="142" t="n">
        <x:v>0.006076923076923077</x:v>
      </x:c>
      <x:c r="D1042" s="160" t="n">
        <x:v>1</x:v>
      </x:c>
      <x:c r="E1042" s="162" t="n">
        <x:v>-2696.9996266098333</x:v>
      </x:c>
      <x:c r="F1042" s="162" t="n">
        <x:v>0</x:v>
      </x:c>
      <x:c r="G1042" s="144" t="n">
        <x:v>0.025815720649184117</x:v>
      </x:c>
      <x:c r="H1042" s="144" t="n">
        <x:v>0.5</x:v>
      </x:c>
      <x:c r="I1042" s="137" t="str">
        <x:v>NONPOSITIVE-MODEL-MARGIN</x:v>
      </x:c>
      <x:c r="J1042" s="137" t="str">
        <x:v>V0.7-CONTROLLED-RESEARCH-SCREEN-NOT-DISTRIBUTION</x:v>
      </x:c>
    </x:row>
    <x:row r="1043" ht="22" customHeight="1">
      <x:c r="A1043" s="136" t="str">
        <x:v>SCR-1038</x:v>
      </x:c>
      <x:c r="B1043" s="143" t="n">
        <x:v>0.0000012692307692307692</x:v>
      </x:c>
      <x:c r="C1043" s="143" t="n">
        <x:v>0.006384615384615384</x:v>
      </x:c>
      <x:c r="D1043" s="161" t="n">
        <x:v>1</x:v>
      </x:c>
      <x:c r="E1043" s="163" t="n">
        <x:v>-2715.183843020364</x:v>
      </x:c>
      <x:c r="F1043" s="163" t="n">
        <x:v>0</x:v>
      </x:c>
      <x:c r="G1043" s="145" t="n">
        <x:v>0.026111117626205976</x:v>
      </x:c>
      <x:c r="H1043" s="145" t="n">
        <x:v>0.5</x:v>
      </x:c>
      <x:c r="I1043" s="136" t="str">
        <x:v>NONPOSITIVE-MODEL-MARGIN</x:v>
      </x:c>
      <x:c r="J1043" s="136" t="str">
        <x:v>V0.7-CONTROLLED-RESEARCH-SCREEN-NOT-DISTRIBUTION</x:v>
      </x:c>
    </x:row>
    <x:row r="1044" ht="22" customHeight="1">
      <x:c r="A1044" s="137" t="str">
        <x:v>SCR-1039</x:v>
      </x:c>
      <x:c r="B1044" s="142" t="n">
        <x:v>0.0000012692307692307692</x:v>
      </x:c>
      <x:c r="C1044" s="142" t="n">
        <x:v>0.006692307692307693</x:v>
      </x:c>
      <x:c r="D1044" s="160" t="n">
        <x:v>1</x:v>
      </x:c>
      <x:c r="E1044" s="162" t="n">
        <x:v>-2733.315233038589</x:v>
      </x:c>
      <x:c r="F1044" s="162" t="n">
        <x:v>0</x:v>
      </x:c>
      <x:c r="G1044" s="144" t="n">
        <x:v>0.02640651460322785</x:v>
      </x:c>
      <x:c r="H1044" s="144" t="n">
        <x:v>0.5</x:v>
      </x:c>
      <x:c r="I1044" s="137" t="str">
        <x:v>NONPOSITIVE-MODEL-MARGIN</x:v>
      </x:c>
      <x:c r="J1044" s="137" t="str">
        <x:v>V0.7-CONTROLLED-RESEARCH-SCREEN-NOT-DISTRIBUTION</x:v>
      </x:c>
    </x:row>
    <x:row r="1045" ht="22" customHeight="1">
      <x:c r="A1045" s="136" t="str">
        <x:v>SCR-1040</x:v>
      </x:c>
      <x:c r="B1045" s="143" t="n">
        <x:v>0.0000012692307692307692</x:v>
      </x:c>
      <x:c r="C1045" s="143" t="n">
        <x:v>0.007</x:v>
      </x:c>
      <x:c r="D1045" s="161" t="n">
        <x:v>1</x:v>
      </x:c>
      <x:c r="E1045" s="163" t="n">
        <x:v>-2751.3942437744545</x:v>
      </x:c>
      <x:c r="F1045" s="163" t="n">
        <x:v>0</x:v>
      </x:c>
      <x:c r="G1045" s="145" t="n">
        <x:v>0.026701911580249715</x:v>
      </x:c>
      <x:c r="H1045" s="145" t="n">
        <x:v>0.5</x:v>
      </x:c>
      <x:c r="I1045" s="136" t="str">
        <x:v>NONPOSITIVE-MODEL-MARGIN</x:v>
      </x:c>
      <x:c r="J1045" s="136" t="str">
        <x:v>V0.7-CONTROLLED-RESEARCH-SCREEN-NOT-DISTRIBUTION</x:v>
      </x:c>
    </x:row>
    <x:row r="1046" ht="22" customHeight="1">
      <x:c r="A1046" s="137" t="str">
        <x:v>SCR-1041</x:v>
      </x:c>
      <x:c r="B1046" s="142" t="n">
        <x:v>0.0000012692307692307692</x:v>
      </x:c>
      <x:c r="C1046" s="142" t="n">
        <x:v>0.007307692307692308</x:v>
      </x:c>
      <x:c r="D1046" s="160" t="n">
        <x:v>1</x:v>
      </x:c>
      <x:c r="E1046" s="162" t="n">
        <x:v>-2769.421315105635</x:v>
      </x:c>
      <x:c r="F1046" s="162" t="n">
        <x:v>0</x:v>
      </x:c>
      <x:c r="G1046" s="144" t="n">
        <x:v>0.026997308557271577</x:v>
      </x:c>
      <x:c r="H1046" s="144" t="n">
        <x:v>0.5</x:v>
      </x:c>
      <x:c r="I1046" s="137" t="str">
        <x:v>NONPOSITIVE-MODEL-MARGIN</x:v>
      </x:c>
      <x:c r="J1046" s="137" t="str">
        <x:v>V0.7-CONTROLLED-RESEARCH-SCREEN-NOT-DISTRIBUTION</x:v>
      </x:c>
    </x:row>
    <x:row r="1047" ht="22" customHeight="1">
      <x:c r="A1047" s="136" t="str">
        <x:v>SCR-1042</x:v>
      </x:c>
      <x:c r="B1047" s="143" t="n">
        <x:v>0.0000012692307692307692</x:v>
      </x:c>
      <x:c r="C1047" s="143" t="n">
        <x:v>0.007615384615384616</x:v>
      </x:c>
      <x:c r="D1047" s="161" t="n">
        <x:v>1</x:v>
      </x:c>
      <x:c r="E1047" s="163" t="n">
        <x:v>-2787.3968798280966</x:v>
      </x:c>
      <x:c r="F1047" s="163" t="n">
        <x:v>0</x:v>
      </x:c>
      <x:c r="G1047" s="145" t="n">
        <x:v>0.027292705534293447</x:v>
      </x:c>
      <x:c r="H1047" s="145" t="n">
        <x:v>0.5</x:v>
      </x:c>
      <x:c r="I1047" s="136" t="str">
        <x:v>NONPOSITIVE-MODEL-MARGIN</x:v>
      </x:c>
      <x:c r="J1047" s="136" t="str">
        <x:v>V0.7-CONTROLLED-RESEARCH-SCREEN-NOT-DISTRIBUTION</x:v>
      </x:c>
    </x:row>
    <x:row r="1048" ht="22" customHeight="1">
      <x:c r="A1048" s="137" t="str">
        <x:v>SCR-1043</x:v>
      </x:c>
      <x:c r="B1048" s="142" t="n">
        <x:v>0.0000012692307692307692</x:v>
      </x:c>
      <x:c r="C1048" s="142" t="n">
        <x:v>0.007923076923076923</x:v>
      </x:c>
      <x:c r="D1048" s="160" t="n">
        <x:v>1</x:v>
      </x:c>
      <x:c r="E1048" s="162" t="n">
        <x:v>-2805.3213638037887</x:v>
      </x:c>
      <x:c r="F1048" s="162" t="n">
        <x:v>0</x:v>
      </x:c>
      <x:c r="G1048" s="144" t="n">
        <x:v>0.027588102511315313</x:v>
      </x:c>
      <x:c r="H1048" s="144" t="n">
        <x:v>0.5</x:v>
      </x:c>
      <x:c r="I1048" s="137" t="str">
        <x:v>NONPOSITIVE-MODEL-MARGIN</x:v>
      </x:c>
      <x:c r="J1048" s="137" t="str">
        <x:v>V0.7-CONTROLLED-RESEARCH-SCREEN-NOT-DISTRIBUTION</x:v>
      </x:c>
    </x:row>
    <x:row r="1049" ht="22" customHeight="1">
      <x:c r="A1049" s="136" t="str">
        <x:v>SCR-1044</x:v>
      </x:c>
      <x:c r="B1049" s="143" t="n">
        <x:v>0.0000012692307692307692</x:v>
      </x:c>
      <x:c r="C1049" s="143" t="n">
        <x:v>0.00823076923076923</x:v>
      </x:c>
      <x:c r="D1049" s="161" t="n">
        <x:v>1</x:v>
      </x:c>
      <x:c r="E1049" s="163" t="n">
        <x:v>-2823.1951861055636</x:v>
      </x:c>
      <x:c r="F1049" s="163" t="n">
        <x:v>0</x:v>
      </x:c>
      <x:c r="G1049" s="145" t="n">
        <x:v>0.027883499488337182</x:v>
      </x:c>
      <x:c r="H1049" s="145" t="n">
        <x:v>0.5</x:v>
      </x:c>
      <x:c r="I1049" s="136" t="str">
        <x:v>NONPOSITIVE-MODEL-MARGIN</x:v>
      </x:c>
      <x:c r="J1049" s="136" t="str">
        <x:v>V0.7-CONTROLLED-RESEARCH-SCREEN-NOT-DISTRIBUTION</x:v>
      </x:c>
    </x:row>
    <x:row r="1050" ht="22" customHeight="1">
      <x:c r="A1050" s="137" t="str">
        <x:v>SCR-1045</x:v>
      </x:c>
      <x:c r="B1050" s="142" t="n">
        <x:v>0.0000012692307692307692</x:v>
      </x:c>
      <x:c r="C1050" s="142" t="n">
        <x:v>0.00853846153846154</x:v>
      </x:c>
      <x:c r="D1050" s="160" t="n">
        <x:v>1</x:v>
      </x:c>
      <x:c r="E1050" s="162" t="n">
        <x:v>-2841.0187591592303</x:v>
      </x:c>
      <x:c r="F1050" s="162" t="n">
        <x:v>0</x:v>
      </x:c>
      <x:c r="G1050" s="144" t="n">
        <x:v>0.028178896465359045</x:v>
      </x:c>
      <x:c r="H1050" s="144" t="n">
        <x:v>0.5</x:v>
      </x:c>
      <x:c r="I1050" s="137" t="str">
        <x:v>NONPOSITIVE-MODEL-MARGIN</x:v>
      </x:c>
      <x:c r="J1050" s="137" t="str">
        <x:v>V0.7-CONTROLLED-RESEARCH-SCREEN-NOT-DISTRIBUTION</x:v>
      </x:c>
    </x:row>
    <x:row r="1051" ht="22" customHeight="1">
      <x:c r="A1051" s="136" t="str">
        <x:v>SCR-1046</x:v>
      </x:c>
      <x:c r="B1051" s="143" t="n">
        <x:v>0.0000012692307692307692</x:v>
      </x:c>
      <x:c r="C1051" s="143" t="n">
        <x:v>0.008846153846153847</x:v>
      </x:c>
      <x:c r="D1051" s="161" t="n">
        <x:v>1</x:v>
      </x:c>
      <x:c r="E1051" s="163" t="n">
        <x:v>-2858.792488882612</x:v>
      </x:c>
      <x:c r="F1051" s="163" t="n">
        <x:v>0</x:v>
      </x:c>
      <x:c r="G1051" s="145" t="n">
        <x:v>0.028474293442380914</x:v>
      </x:c>
      <x:c r="H1051" s="145" t="n">
        <x:v>0.5</x:v>
      </x:c>
      <x:c r="I1051" s="136" t="str">
        <x:v>NONPOSITIVE-MODEL-MARGIN</x:v>
      </x:c>
      <x:c r="J1051" s="136" t="str">
        <x:v>V0.7-CONTROLLED-RESEARCH-SCREEN-NOT-DISTRIBUTION</x:v>
      </x:c>
    </x:row>
    <x:row r="1052" ht="22" customHeight="1">
      <x:c r="A1052" s="137" t="str">
        <x:v>SCR-1047</x:v>
      </x:c>
      <x:c r="B1052" s="142" t="n">
        <x:v>0.0000012692307692307692</x:v>
      </x:c>
      <x:c r="C1052" s="142" t="n">
        <x:v>0.009153846153846155</x:v>
      </x:c>
      <x:c r="D1052" s="160" t="n">
        <x:v>1</x:v>
      </x:c>
      <x:c r="E1052" s="162" t="n">
        <x:v>-2876.5167748218078</x:v>
      </x:c>
      <x:c r="F1052" s="162" t="n">
        <x:v>0</x:v>
      </x:c>
      <x:c r="G1052" s="144" t="n">
        <x:v>0.02876969041940278</x:v>
      </x:c>
      <x:c r="H1052" s="144" t="n">
        <x:v>0.5</x:v>
      </x:c>
      <x:c r="I1052" s="137" t="str">
        <x:v>NONPOSITIVE-MODEL-MARGIN</x:v>
      </x:c>
      <x:c r="J1052" s="137" t="str">
        <x:v>V0.7-CONTROLLED-RESEARCH-SCREEN-NOT-DISTRIBUTION</x:v>
      </x:c>
    </x:row>
    <x:row r="1053" ht="22" customHeight="1">
      <x:c r="A1053" s="136" t="str">
        <x:v>SCR-1048</x:v>
      </x:c>
      <x:c r="B1053" s="143" t="n">
        <x:v>0.0000012692307692307692</x:v>
      </x:c>
      <x:c r="C1053" s="143" t="n">
        <x:v>0.009461538461538462</x:v>
      </x:c>
      <x:c r="D1053" s="161" t="n">
        <x:v>1</x:v>
      </x:c>
      <x:c r="E1053" s="163" t="n">
        <x:v>-2894.192010284526</x:v>
      </x:c>
      <x:c r="F1053" s="163" t="n">
        <x:v>0</x:v>
      </x:c>
      <x:c r="G1053" s="145" t="n">
        <x:v>0.029065087396424646</x:v>
      </x:c>
      <x:c r="H1053" s="145" t="n">
        <x:v>0.5</x:v>
      </x:c>
      <x:c r="I1053" s="136" t="str">
        <x:v>NONPOSITIVE-MODEL-MARGIN</x:v>
      </x:c>
      <x:c r="J1053" s="136" t="str">
        <x:v>V0.7-CONTROLLED-RESEARCH-SCREEN-NOT-DISTRIBUTION</x:v>
      </x:c>
    </x:row>
    <x:row r="1054" ht="22" customHeight="1">
      <x:c r="A1054" s="137" t="str">
        <x:v>SCR-1049</x:v>
      </x:c>
      <x:c r="B1054" s="142" t="n">
        <x:v>0.0000012692307692307692</x:v>
      </x:c>
      <x:c r="C1054" s="142" t="n">
        <x:v>0.00976923076923077</x:v>
      </x:c>
      <x:c r="D1054" s="160" t="n">
        <x:v>1</x:v>
      </x:c>
      <x:c r="E1054" s="162" t="n">
        <x:v>-2911.8185824704906</x:v>
      </x:c>
      <x:c r="F1054" s="162" t="n">
        <x:v>0</x:v>
      </x:c>
      <x:c r="G1054" s="144" t="n">
        <x:v>0.029360484373446516</x:v>
      </x:c>
      <x:c r="H1054" s="144" t="n">
        <x:v>0.5</x:v>
      </x:c>
      <x:c r="I1054" s="137" t="str">
        <x:v>NONPOSITIVE-MODEL-MARGIN</x:v>
      </x:c>
      <x:c r="J1054" s="137" t="str">
        <x:v>V0.7-CONTROLLED-RESEARCH-SCREEN-NOT-DISTRIBUTION</x:v>
      </x:c>
    </x:row>
    <x:row r="1055" ht="22" customHeight="1">
      <x:c r="A1055" s="136" t="str">
        <x:v>SCR-1050</x:v>
      </x:c>
      <x:c r="B1055" s="143" t="n">
        <x:v>0.0000012692307692307692</x:v>
      </x:c>
      <x:c r="C1055" s="143" t="n">
        <x:v>0.010076923076923077</x:v>
      </x:c>
      <x:c r="D1055" s="161" t="n">
        <x:v>1</x:v>
      </x:c>
      <x:c r="E1055" s="163" t="n">
        <x:v>-2929.396872599018</x:v>
      </x:c>
      <x:c r="F1055" s="163" t="n">
        <x:v>0</x:v>
      </x:c>
      <x:c r="G1055" s="145" t="n">
        <x:v>0.029655881350468375</x:v>
      </x:c>
      <x:c r="H1055" s="145" t="n">
        <x:v>0.5</x:v>
      </x:c>
      <x:c r="I1055" s="136" t="str">
        <x:v>NONPOSITIVE-MODEL-MARGIN</x:v>
      </x:c>
      <x:c r="J1055" s="136" t="str">
        <x:v>V0.7-CONTROLLED-RESEARCH-SCREEN-NOT-DISTRIBUTION</x:v>
      </x:c>
    </x:row>
    <x:row r="1056" ht="22" customHeight="1">
      <x:c r="A1056" s="137" t="str">
        <x:v>SCR-1051</x:v>
      </x:c>
      <x:c r="B1056" s="142" t="n">
        <x:v>0.0000012692307692307692</x:v>
      </x:c>
      <x:c r="C1056" s="142" t="n">
        <x:v>0.010384615384615384</x:v>
      </x:c>
      <x:c r="D1056" s="160" t="n">
        <x:v>1</x:v>
      </x:c>
      <x:c r="E1056" s="162" t="n">
        <x:v>-2946.9272560337713</x:v>
      </x:c>
      <x:c r="F1056" s="162" t="n">
        <x:v>0</x:v>
      </x:c>
      <x:c r="G1056" s="144" t="n">
        <x:v>0.02995127832749025</x:v>
      </x:c>
      <x:c r="H1056" s="144" t="n">
        <x:v>0.5</x:v>
      </x:c>
      <x:c r="I1056" s="137" t="str">
        <x:v>NONPOSITIVE-MODEL-MARGIN</x:v>
      </x:c>
      <x:c r="J1056" s="137" t="str">
        <x:v>V0.7-CONTROLLED-RESEARCH-SCREEN-NOT-DISTRIBUTION</x:v>
      </x:c>
    </x:row>
    <x:row r="1057" ht="22" customHeight="1">
      <x:c r="A1057" s="136" t="str">
        <x:v>SCR-1052</x:v>
      </x:c>
      <x:c r="B1057" s="143" t="n">
        <x:v>0.0000012692307692307692</x:v>
      </x:c>
      <x:c r="C1057" s="143" t="n">
        <x:v>0.010692307692307692</x:v>
      </x:c>
      <x:c r="D1057" s="161" t="n">
        <x:v>1</x:v>
      </x:c>
      <x:c r="E1057" s="163" t="n">
        <x:v>-2964.4101024046186</x:v>
      </x:c>
      <x:c r="F1057" s="163" t="n">
        <x:v>0</x:v>
      </x:c>
      <x:c r="G1057" s="145" t="n">
        <x:v>0.03024667530451211</x:v>
      </x:c>
      <x:c r="H1057" s="145" t="n">
        <x:v>0.5</x:v>
      </x:c>
      <x:c r="I1057" s="136" t="str">
        <x:v>NONPOSITIVE-MODEL-MARGIN</x:v>
      </x:c>
      <x:c r="J1057" s="136" t="str">
        <x:v>V0.7-CONTROLLED-RESEARCH-SCREEN-NOT-DISTRIBUTION</x:v>
      </x:c>
    </x:row>
    <x:row r="1058" ht="22" customHeight="1">
      <x:c r="A1058" s="137" t="str">
        <x:v>SCR-1053</x:v>
      </x:c>
      <x:c r="B1058" s="142" t="n">
        <x:v>0.0000012692307692307692</x:v>
      </x:c>
      <x:c r="C1058" s="142" t="n">
        <x:v>0.011</x:v>
      </x:c>
      <x:c r="D1058" s="160" t="n">
        <x:v>1</x:v>
      </x:c>
      <x:c r="E1058" s="162" t="n">
        <x:v>-2981.8457757268284</x:v>
      </x:c>
      <x:c r="F1058" s="162" t="n">
        <x:v>0</x:v>
      </x:c>
      <x:c r="G1058" s="144" t="n">
        <x:v>0.030542072281533984</x:v>
      </x:c>
      <x:c r="H1058" s="144" t="n">
        <x:v>0.5</x:v>
      </x:c>
      <x:c r="I1058" s="137" t="str">
        <x:v>NONPOSITIVE-MODEL-MARGIN</x:v>
      </x:c>
      <x:c r="J1058" s="137" t="str">
        <x:v>V0.7-CONTROLLED-RESEARCH-SCREEN-NOT-DISTRIBUTION</x:v>
      </x:c>
    </x:row>
    <x:row r="1059" ht="22" customHeight="1">
      <x:c r="A1059" s="136" t="str">
        <x:v>SCR-1054</x:v>
      </x:c>
      <x:c r="B1059" s="143" t="n">
        <x:v>0.0000012692307692307692</x:v>
      </x:c>
      <x:c r="C1059" s="143" t="n">
        <x:v>0.011307692307692307</x:v>
      </x:c>
      <x:c r="D1059" s="161" t="n">
        <x:v>1</x:v>
      </x:c>
      <x:c r="E1059" s="163" t="n">
        <x:v>-2999.234634517419</x:v>
      </x:c>
      <x:c r="F1059" s="163" t="n">
        <x:v>0</x:v>
      </x:c>
      <x:c r="G1059" s="145" t="n">
        <x:v>0.03083746925855585</x:v>
      </x:c>
      <x:c r="H1059" s="145" t="n">
        <x:v>0.5</x:v>
      </x:c>
      <x:c r="I1059" s="136" t="str">
        <x:v>NONPOSITIVE-MODEL-MARGIN</x:v>
      </x:c>
      <x:c r="J1059" s="136" t="str">
        <x:v>V0.7-CONTROLLED-RESEARCH-SCREEN-NOT-DISTRIBUTION</x:v>
      </x:c>
    </x:row>
    <x:row r="1060" ht="22" customHeight="1">
      <x:c r="A1060" s="137" t="str">
        <x:v>SCR-1055</x:v>
      </x:c>
      <x:c r="B1060" s="142" t="n">
        <x:v>0.0000012692307692307692</x:v>
      </x:c>
      <x:c r="C1060" s="142" t="n">
        <x:v>0.011615384615384614</x:v>
      </x:c>
      <x:c r="D1060" s="160" t="n">
        <x:v>1</x:v>
      </x:c>
      <x:c r="E1060" s="162" t="n">
        <x:v>-3020.0148953412045</x:v>
      </x:c>
      <x:c r="F1060" s="162" t="n">
        <x:v>0</x:v>
      </x:c>
      <x:c r="G1060" s="144" t="n">
        <x:v>0.031132866235577712</x:v>
      </x:c>
      <x:c r="H1060" s="144" t="n">
        <x:v>0.5</x:v>
      </x:c>
      <x:c r="I1060" s="137" t="str">
        <x:v>NONPOSITIVE-MODEL-MARGIN</x:v>
      </x:c>
      <x:c r="J1060" s="137" t="str">
        <x:v>V0.7-CONTROLLED-RESEARCH-SCREEN-NOT-DISTRIBUTION</x:v>
      </x:c>
    </x:row>
    <x:row r="1061" ht="22" customHeight="1">
      <x:c r="A1061" s="136" t="str">
        <x:v>SCR-1056</x:v>
      </x:c>
      <x:c r="B1061" s="143" t="n">
        <x:v>0.0000012692307692307692</x:v>
      </x:c>
      <x:c r="C1061" s="143" t="n">
        <x:v>0.011923076923076925</x:v>
      </x:c>
      <x:c r="D1061" s="161" t="n">
        <x:v>1</x:v>
      </x:c>
      <x:c r="E1061" s="163" t="n">
        <x:v>-3037.301430719983</x:v>
      </x:c>
      <x:c r="F1061" s="163" t="n">
        <x:v>0</x:v>
      </x:c>
      <x:c r="G1061" s="145" t="n">
        <x:v>0.03142826321259959</x:v>
      </x:c>
      <x:c r="H1061" s="145" t="n">
        <x:v>0.5</x:v>
      </x:c>
      <x:c r="I1061" s="136" t="str">
        <x:v>NONPOSITIVE-MODEL-MARGIN</x:v>
      </x:c>
      <x:c r="J1061" s="136" t="str">
        <x:v>V0.7-CONTROLLED-RESEARCH-SCREEN-NOT-DISTRIBUTION</x:v>
      </x:c>
    </x:row>
    <x:row r="1062" ht="22" customHeight="1">
      <x:c r="A1062" s="137" t="str">
        <x:v>SCR-1057</x:v>
      </x:c>
      <x:c r="B1062" s="142" t="n">
        <x:v>0.0000012692307692307692</x:v>
      </x:c>
      <x:c r="C1062" s="142" t="n">
        <x:v>0.012230769230769233</x:v>
      </x:c>
      <x:c r="D1062" s="160" t="n">
        <x:v>1</x:v>
      </x:c>
      <x:c r="E1062" s="162" t="n">
        <x:v>-3054.542283506406</x:v>
      </x:c>
      <x:c r="F1062" s="162" t="n">
        <x:v>0</x:v>
      </x:c>
      <x:c r="G1062" s="144" t="n">
        <x:v>0.031723660189621444</x:v>
      </x:c>
      <x:c r="H1062" s="144" t="n">
        <x:v>0.5</x:v>
      </x:c>
      <x:c r="I1062" s="137" t="str">
        <x:v>NONPOSITIVE-MODEL-MARGIN</x:v>
      </x:c>
      <x:c r="J1062" s="137" t="str">
        <x:v>V0.7-CONTROLLED-RESEARCH-SCREEN-NOT-DISTRIBUTION</x:v>
      </x:c>
    </x:row>
    <x:row r="1063" ht="22" customHeight="1">
      <x:c r="A1063" s="136" t="str">
        <x:v>SCR-1058</x:v>
      </x:c>
      <x:c r="B1063" s="143" t="n">
        <x:v>0.0000012692307692307692</x:v>
      </x:c>
      <x:c r="C1063" s="143" t="n">
        <x:v>0.01253846153846154</x:v>
      </x:c>
      <x:c r="D1063" s="161" t="n">
        <x:v>1</x:v>
      </x:c>
      <x:c r="E1063" s="163" t="n">
        <x:v>-3071.7377896975822</x:v>
      </x:c>
      <x:c r="F1063" s="163" t="n">
        <x:v>0</x:v>
      </x:c>
      <x:c r="G1063" s="145" t="n">
        <x:v>0.03201905716664331</x:v>
      </x:c>
      <x:c r="H1063" s="145" t="n">
        <x:v>0.5</x:v>
      </x:c>
      <x:c r="I1063" s="136" t="str">
        <x:v>NONPOSITIVE-MODEL-MARGIN</x:v>
      </x:c>
      <x:c r="J1063" s="136" t="str">
        <x:v>V0.7-CONTROLLED-RESEARCH-SCREEN-NOT-DISTRIBUTION</x:v>
      </x:c>
    </x:row>
    <x:row r="1064" ht="22" customHeight="1">
      <x:c r="A1064" s="137" t="str">
        <x:v>SCR-1059</x:v>
      </x:c>
      <x:c r="B1064" s="142" t="n">
        <x:v>0.0000012692307692307692</x:v>
      </x:c>
      <x:c r="C1064" s="142" t="n">
        <x:v>0.012846153846153847</x:v>
      </x:c>
      <x:c r="D1064" s="160" t="n">
        <x:v>1</x:v>
      </x:c>
      <x:c r="E1064" s="162" t="n">
        <x:v>-3088.888280380027</x:v>
      </x:c>
      <x:c r="F1064" s="162" t="n">
        <x:v>0</x:v>
      </x:c>
      <x:c r="G1064" s="144" t="n">
        <x:v>0.03231445414366519</x:v>
      </x:c>
      <x:c r="H1064" s="144" t="n">
        <x:v>0.5</x:v>
      </x:c>
      <x:c r="I1064" s="137" t="str">
        <x:v>NONPOSITIVE-MODEL-MARGIN</x:v>
      </x:c>
      <x:c r="J1064" s="137" t="str">
        <x:v>V0.7-CONTROLLED-RESEARCH-SCREEN-NOT-DISTRIBUTION</x:v>
      </x:c>
    </x:row>
    <x:row r="1065" ht="22" customHeight="1">
      <x:c r="A1065" s="136" t="str">
        <x:v>SCR-1060</x:v>
      </x:c>
      <x:c r="B1065" s="143" t="n">
        <x:v>0.0000012692307692307692</x:v>
      </x:c>
      <x:c r="C1065" s="143" t="n">
        <x:v>0.013153846153846155</x:v>
      </x:c>
      <x:c r="D1065" s="161" t="n">
        <x:v>1</x:v>
      </x:c>
      <x:c r="E1065" s="163" t="n">
        <x:v>-3105.994081828918</x:v>
      </x:c>
      <x:c r="F1065" s="163" t="n">
        <x:v>0</x:v>
      </x:c>
      <x:c r="G1065" s="145" t="n">
        <x:v>0.032609851120687046</x:v>
      </x:c>
      <x:c r="H1065" s="145" t="n">
        <x:v>0.5</x:v>
      </x:c>
      <x:c r="I1065" s="136" t="str">
        <x:v>NONPOSITIVE-MODEL-MARGIN</x:v>
      </x:c>
      <x:c r="J1065" s="136" t="str">
        <x:v>V0.7-CONTROLLED-RESEARCH-SCREEN-NOT-DISTRIBUTION</x:v>
      </x:c>
    </x:row>
    <x:row r="1066" ht="22" customHeight="1">
      <x:c r="A1066" s="137" t="str">
        <x:v>SCR-1061</x:v>
      </x:c>
      <x:c r="B1066" s="142" t="n">
        <x:v>0.0000012692307692307692</x:v>
      </x:c>
      <x:c r="C1066" s="142" t="n">
        <x:v>0.013461538461538462</x:v>
      </x:c>
      <x:c r="D1066" s="160" t="n">
        <x:v>1</x:v>
      </x:c>
      <x:c r="E1066" s="162" t="n">
        <x:v>-3123.0555156050796</x:v>
      </x:c>
      <x:c r="F1066" s="162" t="n">
        <x:v>0</x:v>
      </x:c>
      <x:c r="G1066" s="144" t="n">
        <x:v>0.032905248097708915</x:v>
      </x:c>
      <x:c r="H1066" s="144" t="n">
        <x:v>0.5</x:v>
      </x:c>
      <x:c r="I1066" s="137" t="str">
        <x:v>NONPOSITIVE-MODEL-MARGIN</x:v>
      </x:c>
      <x:c r="J1066" s="137" t="str">
        <x:v>V0.7-CONTROLLED-RESEARCH-SCREEN-NOT-DISTRIBUTION</x:v>
      </x:c>
    </x:row>
    <x:row r="1067" ht="22" customHeight="1">
      <x:c r="A1067" s="136" t="str">
        <x:v>SCR-1062</x:v>
      </x:c>
      <x:c r="B1067" s="143" t="n">
        <x:v>0.0000012692307692307692</x:v>
      </x:c>
      <x:c r="C1067" s="143" t="n">
        <x:v>0.01376923076923077</x:v>
      </x:c>
      <x:c r="D1067" s="161" t="n">
        <x:v>1</x:v>
      </x:c>
      <x:c r="E1067" s="163" t="n">
        <x:v>-3140.072898649689</x:v>
      </x:c>
      <x:c r="F1067" s="163" t="n">
        <x:v>0</x:v>
      </x:c>
      <x:c r="G1067" s="145" t="n">
        <x:v>0.03320064507473078</x:v>
      </x:c>
      <x:c r="H1067" s="145" t="n">
        <x:v>0.5</x:v>
      </x:c>
      <x:c r="I1067" s="136" t="str">
        <x:v>NONPOSITIVE-MODEL-MARGIN</x:v>
      </x:c>
      <x:c r="J1067" s="136" t="str">
        <x:v>V0.7-CONTROLLED-RESEARCH-SCREEN-NOT-DISTRIBUTION</x:v>
      </x:c>
    </x:row>
    <x:row r="1068" ht="22" customHeight="1">
      <x:c r="A1068" s="137" t="str">
        <x:v>SCR-1063</x:v>
      </x:c>
      <x:c r="B1068" s="142" t="n">
        <x:v>0.0000012692307692307692</x:v>
      </x:c>
      <x:c r="C1068" s="142" t="n">
        <x:v>0.014076923076923077</x:v>
      </x:c>
      <x:c r="D1068" s="160" t="n">
        <x:v>1</x:v>
      </x:c>
      <x:c r="E1068" s="162" t="n">
        <x:v>-3157.046543376692</x:v>
      </x:c>
      <x:c r="F1068" s="162" t="n">
        <x:v>0</x:v>
      </x:c>
      <x:c r="G1068" s="144" t="n">
        <x:v>0.03349604205175265</x:v>
      </x:c>
      <x:c r="H1068" s="144" t="n">
        <x:v>0.5</x:v>
      </x:c>
      <x:c r="I1068" s="137" t="str">
        <x:v>NONPOSITIVE-MODEL-MARGIN</x:v>
      </x:c>
      <x:c r="J1068" s="137" t="str">
        <x:v>V0.7-CONTROLLED-RESEARCH-SCREEN-NOT-DISTRIBUTION</x:v>
      </x:c>
    </x:row>
    <x:row r="1069" ht="22" customHeight="1">
      <x:c r="A1069" s="136" t="str">
        <x:v>SCR-1064</x:v>
      </x:c>
      <x:c r="B1069" s="143" t="n">
        <x:v>0.0000012692307692307692</x:v>
      </x:c>
      <x:c r="C1069" s="143" t="n">
        <x:v>0.014384615384615385</x:v>
      </x:c>
      <x:c r="D1069" s="161" t="n">
        <x:v>1</x:v>
      </x:c>
      <x:c r="E1069" s="163" t="n">
        <x:v>-3170.623585537797</x:v>
      </x:c>
      <x:c r="F1069" s="163" t="n">
        <x:v>0</x:v>
      </x:c>
      <x:c r="G1069" s="145" t="n">
        <x:v>0.03379143902877451</x:v>
      </x:c>
      <x:c r="H1069" s="145" t="n">
        <x:v>0.5</x:v>
      </x:c>
      <x:c r="I1069" s="136" t="str">
        <x:v>NONPOSITIVE-MODEL-MARGIN</x:v>
      </x:c>
      <x:c r="J1069" s="136" t="str">
        <x:v>V0.7-CONTROLLED-RESEARCH-SCREEN-NOT-DISTRIBUTION</x:v>
      </x:c>
    </x:row>
    <x:row r="1070" ht="22" customHeight="1">
      <x:c r="A1070" s="137" t="str">
        <x:v>SCR-1065</x:v>
      </x:c>
      <x:c r="B1070" s="142" t="n">
        <x:v>0.0000012692307692307692</x:v>
      </x:c>
      <x:c r="C1070" s="142" t="n">
        <x:v>0.014692307692307692</x:v>
      </x:c>
      <x:c r="D1070" s="160" t="n">
        <x:v>1</x:v>
      </x:c>
      <x:c r="E1070" s="162" t="n">
        <x:v>-3187.5196827681716</x:v>
      </x:c>
      <x:c r="F1070" s="162" t="n">
        <x:v>0</x:v>
      </x:c>
      <x:c r="G1070" s="144" t="n">
        <x:v>0.034086836005796387</x:v>
      </x:c>
      <x:c r="H1070" s="144" t="n">
        <x:v>0.5</x:v>
      </x:c>
      <x:c r="I1070" s="137" t="str">
        <x:v>NONPOSITIVE-MODEL-MARGIN</x:v>
      </x:c>
      <x:c r="J1070" s="137" t="str">
        <x:v>V0.7-CONTROLLED-RESEARCH-SCREEN-NOT-DISTRIBUTION</x:v>
      </x:c>
    </x:row>
    <x:row r="1071" ht="22" customHeight="1">
      <x:c r="A1071" s="136" t="str">
        <x:v>SCR-1066</x:v>
      </x:c>
      <x:c r="B1071" s="143" t="n">
        <x:v>0.0000012692307692307692</x:v>
      </x:c>
      <x:c r="C1071" s="143" t="n">
        <x:v>0.015</x:v>
      </x:c>
      <x:c r="D1071" s="161" t="n">
        <x:v>1</x:v>
      </x:c>
      <x:c r="E1071" s="163" t="n">
        <x:v>-3204.3728776425555</x:v>
      </x:c>
      <x:c r="F1071" s="163" t="n">
        <x:v>0</x:v>
      </x:c>
      <x:c r="G1071" s="145" t="n">
        <x:v>0.03438223298281825</x:v>
      </x:c>
      <x:c r="H1071" s="145" t="n">
        <x:v>0.5</x:v>
      </x:c>
      <x:c r="I1071" s="136" t="str">
        <x:v>NONPOSITIVE-MODEL-MARGIN</x:v>
      </x:c>
      <x:c r="J1071" s="136" t="str">
        <x:v>V0.7-CONTROLLED-RESEARCH-SCREEN-NOT-DISTRIBUTION</x:v>
      </x:c>
    </x:row>
    <x:row r="1072" ht="22" customHeight="1">
      <x:c r="A1072" s="137" t="str">
        <x:v>SCR-1067</x:v>
      </x:c>
      <x:c r="B1072" s="142" t="n">
        <x:v>0.0000013179487179487177</x:v>
      </x:c>
      <x:c r="C1072" s="142" t="n">
        <x:v>0.003</x:v>
      </x:c>
      <x:c r="D1072" s="160" t="n">
        <x:v>1</x:v>
      </x:c>
      <x:c r="E1072" s="162" t="n">
        <x:v>-2555.893684284842</x:v>
      </x:c>
      <x:c r="F1072" s="162" t="n">
        <x:v>0</x:v>
      </x:c>
      <x:c r="G1072" s="144" t="n">
        <x:v>0.023574988262563677</x:v>
      </x:c>
      <x:c r="H1072" s="144" t="n">
        <x:v>0.5</x:v>
      </x:c>
      <x:c r="I1072" s="137" t="str">
        <x:v>NONPOSITIVE-MODEL-MARGIN</x:v>
      </x:c>
      <x:c r="J1072" s="137" t="str">
        <x:v>V0.7-CONTROLLED-RESEARCH-SCREEN-NOT-DISTRIBUTION</x:v>
      </x:c>
    </x:row>
    <x:row r="1073" ht="22" customHeight="1">
      <x:c r="A1073" s="136" t="str">
        <x:v>SCR-1068</x:v>
      </x:c>
      <x:c r="B1073" s="143" t="n">
        <x:v>0.0000013179487179487177</x:v>
      </x:c>
      <x:c r="C1073" s="143" t="n">
        <x:v>0.003307692307692308</x:v>
      </x:c>
      <x:c r="D1073" s="161" t="n">
        <x:v>1</x:v>
      </x:c>
      <x:c r="E1073" s="163" t="n">
        <x:v>-2574.510781050431</x:v>
      </x:c>
      <x:c r="F1073" s="163" t="n">
        <x:v>0</x:v>
      </x:c>
      <x:c r="G1073" s="145" t="n">
        <x:v>0.023869943702669445</x:v>
      </x:c>
      <x:c r="H1073" s="145" t="n">
        <x:v>0.5</x:v>
      </x:c>
      <x:c r="I1073" s="136" t="str">
        <x:v>NONPOSITIVE-MODEL-MARGIN</x:v>
      </x:c>
      <x:c r="J1073" s="136" t="str">
        <x:v>V0.7-CONTROLLED-RESEARCH-SCREEN-NOT-DISTRIBUTION</x:v>
      </x:c>
    </x:row>
    <x:row r="1074" ht="22" customHeight="1">
      <x:c r="A1074" s="137" t="str">
        <x:v>SCR-1069</x:v>
      </x:c>
      <x:c r="B1074" s="142" t="n">
        <x:v>0.0000013179487179487177</x:v>
      </x:c>
      <x:c r="C1074" s="142" t="n">
        <x:v>0.0036153846153846154</x:v>
      </x:c>
      <x:c r="D1074" s="160" t="n">
        <x:v>1</x:v>
      </x:c>
      <x:c r="E1074" s="162" t="n">
        <x:v>-2593.071290704008</x:v>
      </x:c>
      <x:c r="F1074" s="162" t="n">
        <x:v>0</x:v>
      </x:c>
      <x:c r="G1074" s="144" t="n">
        <x:v>0.024164899142775195</x:v>
      </x:c>
      <x:c r="H1074" s="144" t="n">
        <x:v>0.5</x:v>
      </x:c>
      <x:c r="I1074" s="137" t="str">
        <x:v>NONPOSITIVE-MODEL-MARGIN</x:v>
      </x:c>
      <x:c r="J1074" s="137" t="str">
        <x:v>V0.7-CONTROLLED-RESEARCH-SCREEN-NOT-DISTRIBUTION</x:v>
      </x:c>
    </x:row>
    <x:row r="1075" ht="22" customHeight="1">
      <x:c r="A1075" s="136" t="str">
        <x:v>SCR-1070</x:v>
      </x:c>
      <x:c r="B1075" s="143" t="n">
        <x:v>0.0000013179487179487177</x:v>
      </x:c>
      <x:c r="C1075" s="143" t="n">
        <x:v>0.003923076923076923</x:v>
      </x:c>
      <x:c r="D1075" s="161" t="n">
        <x:v>1</x:v>
      </x:c>
      <x:c r="E1075" s="163" t="n">
        <x:v>-2611.5757237652447</x:v>
      </x:c>
      <x:c r="F1075" s="163" t="n">
        <x:v>0</x:v>
      </x:c>
      <x:c r="G1075" s="145" t="n">
        <x:v>0.024459854582880962</x:v>
      </x:c>
      <x:c r="H1075" s="145" t="n">
        <x:v>0.5</x:v>
      </x:c>
      <x:c r="I1075" s="136" t="str">
        <x:v>NONPOSITIVE-MODEL-MARGIN</x:v>
      </x:c>
      <x:c r="J1075" s="136" t="str">
        <x:v>V0.7-CONTROLLED-RESEARCH-SCREEN-NOT-DISTRIBUTION</x:v>
      </x:c>
    </x:row>
    <x:row r="1076" ht="22" customHeight="1">
      <x:c r="A1076" s="137" t="str">
        <x:v>SCR-1071</x:v>
      </x:c>
      <x:c r="B1076" s="142" t="n">
        <x:v>0.0000013179487179487177</x:v>
      </x:c>
      <x:c r="C1076" s="142" t="n">
        <x:v>0.004230769230769231</x:v>
      </x:c>
      <x:c r="D1076" s="160" t="n">
        <x:v>1</x:v>
      </x:c>
      <x:c r="E1076" s="162" t="n">
        <x:v>-2630.024582161367</x:v>
      </x:c>
      <x:c r="F1076" s="162" t="n">
        <x:v>0</x:v>
      </x:c>
      <x:c r="G1076" s="144" t="n">
        <x:v>0.02475481002298672</x:v>
      </x:c>
      <x:c r="H1076" s="144" t="n">
        <x:v>0.5</x:v>
      </x:c>
      <x:c r="I1076" s="137" t="str">
        <x:v>NONPOSITIVE-MODEL-MARGIN</x:v>
      </x:c>
      <x:c r="J1076" s="137" t="str">
        <x:v>V0.7-CONTROLLED-RESEARCH-SCREEN-NOT-DISTRIBUTION</x:v>
      </x:c>
    </x:row>
    <x:row r="1077" ht="22" customHeight="1">
      <x:c r="A1077" s="136" t="str">
        <x:v>SCR-1072</x:v>
      </x:c>
      <x:c r="B1077" s="143" t="n">
        <x:v>0.0000013179487179487177</x:v>
      </x:c>
      <x:c r="C1077" s="143" t="n">
        <x:v>0.004538461538461538</x:v>
      </x:c>
      <x:c r="D1077" s="161" t="n">
        <x:v>1</x:v>
      </x:c>
      <x:c r="E1077" s="163" t="n">
        <x:v>-2652.0798813657216</x:v>
      </x:c>
      <x:c r="F1077" s="163" t="n">
        <x:v>0</x:v>
      </x:c>
      <x:c r="G1077" s="145" t="n">
        <x:v>0.025049765463092476</x:v>
      </x:c>
      <x:c r="H1077" s="145" t="n">
        <x:v>0.5</x:v>
      </x:c>
      <x:c r="I1077" s="136" t="str">
        <x:v>NONPOSITIVE-MODEL-MARGIN</x:v>
      </x:c>
      <x:c r="J1077" s="136" t="str">
        <x:v>V0.7-CONTROLLED-RESEARCH-SCREEN-NOT-DISTRIBUTION</x:v>
      </x:c>
    </x:row>
    <x:row r="1078" ht="22" customHeight="1">
      <x:c r="A1078" s="137" t="str">
        <x:v>SCR-1073</x:v>
      </x:c>
      <x:c r="B1078" s="142" t="n">
        <x:v>0.0000013179487179487177</x:v>
      </x:c>
      <x:c r="C1078" s="142" t="n">
        <x:v>0.004846153846153846</x:v>
      </x:c>
      <x:c r="D1078" s="160" t="n">
        <x:v>1</x:v>
      </x:c>
      <x:c r="E1078" s="162" t="n">
        <x:v>-2670.407054142232</x:v>
      </x:c>
      <x:c r="F1078" s="162" t="n">
        <x:v>0</x:v>
      </x:c>
      <x:c r="G1078" s="144" t="n">
        <x:v>0.025344720903198233</x:v>
      </x:c>
      <x:c r="H1078" s="144" t="n">
        <x:v>0.5</x:v>
      </x:c>
      <x:c r="I1078" s="137" t="str">
        <x:v>NONPOSITIVE-MODEL-MARGIN</x:v>
      </x:c>
      <x:c r="J1078" s="137" t="str">
        <x:v>V0.7-CONTROLLED-RESEARCH-SCREEN-NOT-DISTRIBUTION</x:v>
      </x:c>
    </x:row>
    <x:row r="1079" ht="22" customHeight="1">
      <x:c r="A1079" s="136" t="str">
        <x:v>SCR-1074</x:v>
      </x:c>
      <x:c r="B1079" s="143" t="n">
        <x:v>0.0000013179487179487177</x:v>
      </x:c>
      <x:c r="C1079" s="143" t="n">
        <x:v>0.005</x:v>
      </x:c>
      <x:c r="D1079" s="161" t="n">
        <x:v>1</x:v>
      </x:c>
      <x:c r="E1079" s="163" t="n">
        <x:v>-2679.550367459407</x:v>
      </x:c>
      <x:c r="F1079" s="163" t="n">
        <x:v>0</x:v>
      </x:c>
      <x:c r="G1079" s="145" t="n">
        <x:v>0.025492198623251118</x:v>
      </x:c>
      <x:c r="H1079" s="145" t="n">
        <x:v>0.5</x:v>
      </x:c>
      <x:c r="I1079" s="136" t="str">
        <x:v>NONPOSITIVE-MODEL-MARGIN</x:v>
      </x:c>
      <x:c r="J1079" s="136" t="str">
        <x:v>V0.7-CONTROLLED-RESEARCH-SCREEN-NOT-DISTRIBUTION</x:v>
      </x:c>
    </x:row>
    <x:row r="1080" ht="22" customHeight="1">
      <x:c r="A1080" s="137" t="str">
        <x:v>SCR-1075</x:v>
      </x:c>
      <x:c r="B1080" s="142" t="n">
        <x:v>0.0000013179487179487177</x:v>
      </x:c>
      <x:c r="C1080" s="142" t="n">
        <x:v>0.005153846153846154</x:v>
      </x:c>
      <x:c r="D1080" s="160" t="n">
        <x:v>1</x:v>
      </x:c>
      <x:c r="E1080" s="162" t="n">
        <x:v>-2688.680243576043</x:v>
      </x:c>
      <x:c r="F1080" s="162" t="n">
        <x:v>0</x:v>
      </x:c>
      <x:c r="G1080" s="144" t="n">
        <x:v>0.025639676343303996</x:v>
      </x:c>
      <x:c r="H1080" s="144" t="n">
        <x:v>0.5</x:v>
      </x:c>
      <x:c r="I1080" s="137" t="str">
        <x:v>NONPOSITIVE-MODEL-MARGIN</x:v>
      </x:c>
      <x:c r="J1080" s="137" t="str">
        <x:v>V0.7-CONTROLLED-RESEARCH-SCREEN-NOT-DISTRIBUTION</x:v>
      </x:c>
    </x:row>
    <x:row r="1081" ht="22" customHeight="1">
      <x:c r="A1081" s="136" t="str">
        <x:v>SCR-1076</x:v>
      </x:c>
      <x:c r="B1081" s="143" t="n">
        <x:v>0.0000013179487179487177</x:v>
      </x:c>
      <x:c r="C1081" s="143" t="n">
        <x:v>0.005461538461538462</x:v>
      </x:c>
      <x:c r="D1081" s="161" t="n">
        <x:v>1</x:v>
      </x:c>
      <x:c r="E1081" s="163" t="n">
        <x:v>-2706.8999158553206</x:v>
      </x:c>
      <x:c r="F1081" s="163" t="n">
        <x:v>0</x:v>
      </x:c>
      <x:c r="G1081" s="145" t="n">
        <x:v>0.025934631783409757</x:v>
      </x:c>
      <x:c r="H1081" s="145" t="n">
        <x:v>0.5</x:v>
      </x:c>
      <x:c r="I1081" s="136" t="str">
        <x:v>NONPOSITIVE-MODEL-MARGIN</x:v>
      </x:c>
      <x:c r="J1081" s="136" t="str">
        <x:v>V0.7-CONTROLLED-RESEARCH-SCREEN-NOT-DISTRIBUTION</x:v>
      </x:c>
    </x:row>
    <x:row r="1082" ht="22" customHeight="1">
      <x:c r="A1082" s="137" t="str">
        <x:v>SCR-1077</x:v>
      </x:c>
      <x:c r="B1082" s="142" t="n">
        <x:v>0.0000013179487179487177</x:v>
      </x:c>
      <x:c r="C1082" s="142" t="n">
        <x:v>0.0057692307692307696</x:v>
      </x:c>
      <x:c r="D1082" s="160" t="n">
        <x:v>1</x:v>
      </x:c>
      <x:c r="E1082" s="162" t="n">
        <x:v>-2725.0665295335093</x:v>
      </x:c>
      <x:c r="F1082" s="162" t="n">
        <x:v>0</x:v>
      </x:c>
      <x:c r="G1082" s="144" t="n">
        <x:v>0.026229587223515514</x:v>
      </x:c>
      <x:c r="H1082" s="144" t="n">
        <x:v>0.5</x:v>
      </x:c>
      <x:c r="I1082" s="137" t="str">
        <x:v>NONPOSITIVE-MODEL-MARGIN</x:v>
      </x:c>
      <x:c r="J1082" s="137" t="str">
        <x:v>V0.7-CONTROLLED-RESEARCH-SCREEN-NOT-DISTRIBUTION</x:v>
      </x:c>
    </x:row>
    <x:row r="1083" ht="22" customHeight="1">
      <x:c r="A1083" s="136" t="str">
        <x:v>SCR-1078</x:v>
      </x:c>
      <x:c r="B1083" s="143" t="n">
        <x:v>0.0000013179487179487177</x:v>
      </x:c>
      <x:c r="C1083" s="143" t="n">
        <x:v>0.006076923076923077</x:v>
      </x:c>
      <x:c r="D1083" s="161" t="n">
        <x:v>1</x:v>
      </x:c>
      <x:c r="E1083" s="163" t="n">
        <x:v>-2743.180535687375</x:v>
      </x:c>
      <x:c r="F1083" s="163" t="n">
        <x:v>0</x:v>
      </x:c>
      <x:c r="G1083" s="145" t="n">
        <x:v>0.02652454266362128</x:v>
      </x:c>
      <x:c r="H1083" s="145" t="n">
        <x:v>0.5</x:v>
      </x:c>
      <x:c r="I1083" s="136" t="str">
        <x:v>NONPOSITIVE-MODEL-MARGIN</x:v>
      </x:c>
      <x:c r="J1083" s="136" t="str">
        <x:v>V0.7-CONTROLLED-RESEARCH-SCREEN-NOT-DISTRIBUTION</x:v>
      </x:c>
    </x:row>
    <x:row r="1084" ht="22" customHeight="1">
      <x:c r="A1084" s="137" t="str">
        <x:v>SCR-1079</x:v>
      </x:c>
      <x:c r="B1084" s="142" t="n">
        <x:v>0.0000013179487179487177</x:v>
      </x:c>
      <x:c r="C1084" s="142" t="n">
        <x:v>0.006384615384615384</x:v>
      </x:c>
      <x:c r="D1084" s="160" t="n">
        <x:v>1</x:v>
      </x:c>
      <x:c r="E1084" s="162" t="n">
        <x:v>-2761.2423780723148</x:v>
      </x:c>
      <x:c r="F1084" s="162" t="n">
        <x:v>0</x:v>
      </x:c>
      <x:c r="G1084" s="144" t="n">
        <x:v>0.026819498103727038</x:v>
      </x:c>
      <x:c r="H1084" s="144" t="n">
        <x:v>0.5</x:v>
      </x:c>
      <x:c r="I1084" s="137" t="str">
        <x:v>NONPOSITIVE-MODEL-MARGIN</x:v>
      </x:c>
      <x:c r="J1084" s="137" t="str">
        <x:v>V0.7-CONTROLLED-RESEARCH-SCREEN-NOT-DISTRIBUTION</x:v>
      </x:c>
    </x:row>
    <x:row r="1085" ht="22" customHeight="1">
      <x:c r="A1085" s="136" t="str">
        <x:v>SCR-1080</x:v>
      </x:c>
      <x:c r="B1085" s="143" t="n">
        <x:v>0.0000013179487179487177</x:v>
      </x:c>
      <x:c r="C1085" s="143" t="n">
        <x:v>0.006692307692307693</x:v>
      </x:c>
      <x:c r="D1085" s="161" t="n">
        <x:v>1</x:v>
      </x:c>
      <x:c r="E1085" s="163" t="n">
        <x:v>-2779.2524932750007</x:v>
      </x:c>
      <x:c r="F1085" s="163" t="n">
        <x:v>0</x:v>
      </x:c>
      <x:c r="G1085" s="145" t="n">
        <x:v>0.027114453543832795</x:v>
      </x:c>
      <x:c r="H1085" s="145" t="n">
        <x:v>0.5</x:v>
      </x:c>
      <x:c r="I1085" s="136" t="str">
        <x:v>NONPOSITIVE-MODEL-MARGIN</x:v>
      </x:c>
      <x:c r="J1085" s="136" t="str">
        <x:v>V0.7-CONTROLLED-RESEARCH-SCREEN-NOT-DISTRIBUTION</x:v>
      </x:c>
    </x:row>
    <x:row r="1086" ht="22" customHeight="1">
      <x:c r="A1086" s="137" t="str">
        <x:v>SCR-1081</x:v>
      </x:c>
      <x:c r="B1086" s="142" t="n">
        <x:v>0.0000013179487179487177</x:v>
      </x:c>
      <x:c r="C1086" s="142" t="n">
        <x:v>0.007</x:v>
      </x:c>
      <x:c r="D1086" s="160" t="n">
        <x:v>1</x:v>
      </x:c>
      <x:c r="E1086" s="162" t="n">
        <x:v>-2797.211310863144</x:v>
      </x:c>
      <x:c r="F1086" s="162" t="n">
        <x:v>0</x:v>
      </x:c>
      <x:c r="G1086" s="144" t="n">
        <x:v>0.027409408983938555</x:v>
      </x:c>
      <x:c r="H1086" s="144" t="n">
        <x:v>0.5</x:v>
      </x:c>
      <x:c r="I1086" s="137" t="str">
        <x:v>NONPOSITIVE-MODEL-MARGIN</x:v>
      </x:c>
      <x:c r="J1086" s="137" t="str">
        <x:v>V0.7-CONTROLLED-RESEARCH-SCREEN-NOT-DISTRIBUTION</x:v>
      </x:c>
    </x:row>
    <x:row r="1087" ht="22" customHeight="1">
      <x:c r="A1087" s="136" t="str">
        <x:v>SCR-1082</x:v>
      </x:c>
      <x:c r="B1087" s="143" t="n">
        <x:v>0.0000013179487179487177</x:v>
      </x:c>
      <x:c r="C1087" s="143" t="n">
        <x:v>0.007307692307692308</x:v>
      </x:c>
      <x:c r="D1087" s="161" t="n">
        <x:v>1</x:v>
      </x:c>
      <x:c r="E1087" s="163" t="n">
        <x:v>-2815.119253532441</x:v>
      </x:c>
      <x:c r="F1087" s="163" t="n">
        <x:v>0</x:v>
      </x:c>
      <x:c r="G1087" s="145" t="n">
        <x:v>0.027704364424044312</x:v>
      </x:c>
      <x:c r="H1087" s="145" t="n">
        <x:v>0.5</x:v>
      </x:c>
      <x:c r="I1087" s="136" t="str">
        <x:v>NONPOSITIVE-MODEL-MARGIN</x:v>
      </x:c>
      <x:c r="J1087" s="136" t="str">
        <x:v>V0.7-CONTROLLED-RESEARCH-SCREEN-NOT-DISTRIBUTION</x:v>
      </x:c>
    </x:row>
    <x:row r="1088" ht="22" customHeight="1">
      <x:c r="A1088" s="137" t="str">
        <x:v>SCR-1083</x:v>
      </x:c>
      <x:c r="B1088" s="142" t="n">
        <x:v>0.0000013179487179487177</x:v>
      </x:c>
      <x:c r="C1088" s="142" t="n">
        <x:v>0.007615384615384616</x:v>
      </x:c>
      <x:c r="D1088" s="160" t="n">
        <x:v>1</x:v>
      </x:c>
      <x:c r="E1088" s="162" t="n">
        <x:v>-2832.976737250616</x:v>
      </x:c>
      <x:c r="F1088" s="162" t="n">
        <x:v>0</x:v>
      </x:c>
      <x:c r="G1088" s="144" t="n">
        <x:v>0.027999319864150076</x:v>
      </x:c>
      <x:c r="H1088" s="144" t="n">
        <x:v>0.5</x:v>
      </x:c>
      <x:c r="I1088" s="137" t="str">
        <x:v>NONPOSITIVE-MODEL-MARGIN</x:v>
      </x:c>
      <x:c r="J1088" s="137" t="str">
        <x:v>V0.7-CONTROLLED-RESEARCH-SCREEN-NOT-DISTRIBUTION</x:v>
      </x:c>
    </x:row>
    <x:row r="1089" ht="22" customHeight="1">
      <x:c r="A1089" s="136" t="str">
        <x:v>SCR-1084</x:v>
      </x:c>
      <x:c r="B1089" s="143" t="n">
        <x:v>0.0000013179487179487177</x:v>
      </x:c>
      <x:c r="C1089" s="143" t="n">
        <x:v>0.007923076923076923</x:v>
      </x:c>
      <x:c r="D1089" s="161" t="n">
        <x:v>1</x:v>
      </x:c>
      <x:c r="E1089" s="163" t="n">
        <x:v>-2850.7841713984967</x:v>
      </x:c>
      <x:c r="F1089" s="163" t="n">
        <x:v>0</x:v>
      </x:c>
      <x:c r="G1089" s="145" t="n">
        <x:v>0.028294275304255833</x:v>
      </x:c>
      <x:c r="H1089" s="145" t="n">
        <x:v>0.5</x:v>
      </x:c>
      <x:c r="I1089" s="136" t="str">
        <x:v>NONPOSITIVE-MODEL-MARGIN</x:v>
      </x:c>
      <x:c r="J1089" s="136" t="str">
        <x:v>V0.7-CONTROLLED-RESEARCH-SCREEN-NOT-DISTRIBUTION</x:v>
      </x:c>
    </x:row>
    <x:row r="1090" ht="22" customHeight="1">
      <x:c r="A1090" s="137" t="str">
        <x:v>SCR-1085</x:v>
      </x:c>
      <x:c r="B1090" s="142" t="n">
        <x:v>0.0000013179487179487177</x:v>
      </x:c>
      <x:c r="C1090" s="142" t="n">
        <x:v>0.00823076923076923</x:v>
      </x:c>
      <x:c r="D1090" s="160" t="n">
        <x:v>1</x:v>
      </x:c>
      <x:c r="E1090" s="162" t="n">
        <x:v>-2868.5419589082258</x:v>
      </x:c>
      <x:c r="F1090" s="162" t="n">
        <x:v>0</x:v>
      </x:c>
      <x:c r="G1090" s="144" t="n">
        <x:v>0.0285892307443616</x:v>
      </x:c>
      <x:c r="H1090" s="144" t="n">
        <x:v>0.5</x:v>
      </x:c>
      <x:c r="I1090" s="137" t="str">
        <x:v>NONPOSITIVE-MODEL-MARGIN</x:v>
      </x:c>
      <x:c r="J1090" s="137" t="str">
        <x:v>V0.7-CONTROLLED-RESEARCH-SCREEN-NOT-DISTRIBUTION</x:v>
      </x:c>
    </x:row>
    <x:row r="1091" ht="22" customHeight="1">
      <x:c r="A1091" s="136" t="str">
        <x:v>SCR-1086</x:v>
      </x:c>
      <x:c r="B1091" s="143" t="n">
        <x:v>0.0000013179487179487177</x:v>
      </x:c>
      <x:c r="C1091" s="143" t="n">
        <x:v>0.00853846153846154</x:v>
      </x:c>
      <x:c r="D1091" s="161" t="n">
        <x:v>1</x:v>
      </x:c>
      <x:c r="E1091" s="163" t="n">
        <x:v>-2886.2504963984693</x:v>
      </x:c>
      <x:c r="F1091" s="163" t="n">
        <x:v>0</x:v>
      </x:c>
      <x:c r="G1091" s="145" t="n">
        <x:v>0.028884186184467347</x:v>
      </x:c>
      <x:c r="H1091" s="145" t="n">
        <x:v>0.5</x:v>
      </x:c>
      <x:c r="I1091" s="136" t="str">
        <x:v>NONPOSITIVE-MODEL-MARGIN</x:v>
      </x:c>
      <x:c r="J1091" s="136" t="str">
        <x:v>V0.7-CONTROLLED-RESEARCH-SCREEN-NOT-DISTRIBUTION</x:v>
      </x:c>
    </x:row>
    <x:row r="1092" ht="22" customHeight="1">
      <x:c r="A1092" s="137" t="str">
        <x:v>SCR-1087</x:v>
      </x:c>
      <x:c r="B1092" s="142" t="n">
        <x:v>0.0000013179487179487177</x:v>
      </x:c>
      <x:c r="C1092" s="142" t="n">
        <x:v>0.008846153846153847</x:v>
      </x:c>
      <x:c r="D1092" s="160" t="n">
        <x:v>1</x:v>
      </x:c>
      <x:c r="E1092" s="162" t="n">
        <x:v>-2903.910174306754</x:v>
      </x:c>
      <x:c r="F1092" s="162" t="n">
        <x:v>0</x:v>
      </x:c>
      <x:c r="G1092" s="144" t="n">
        <x:v>0.029179141624573114</x:v>
      </x:c>
      <x:c r="H1092" s="144" t="n">
        <x:v>0.5</x:v>
      </x:c>
      <x:c r="I1092" s="137" t="str">
        <x:v>NONPOSITIVE-MODEL-MARGIN</x:v>
      </x:c>
      <x:c r="J1092" s="137" t="str">
        <x:v>V0.7-CONTROLLED-RESEARCH-SCREEN-NOT-DISTRIBUTION</x:v>
      </x:c>
    </x:row>
    <x:row r="1093" ht="22" customHeight="1">
      <x:c r="A1093" s="136" t="str">
        <x:v>SCR-1088</x:v>
      </x:c>
      <x:c r="B1093" s="143" t="n">
        <x:v>0.0000013179487179487177</x:v>
      </x:c>
      <x:c r="C1093" s="143" t="n">
        <x:v>0.009153846153846155</x:v>
      </x:c>
      <x:c r="D1093" s="161" t="n">
        <x:v>1</x:v>
      </x:c>
      <x:c r="E1093" s="163" t="n">
        <x:v>-2925.015703299428</x:v>
      </x:c>
      <x:c r="F1093" s="163" t="n">
        <x:v>0</x:v>
      </x:c>
      <x:c r="G1093" s="145" t="n">
        <x:v>0.029474097064678878</x:v>
      </x:c>
      <x:c r="H1093" s="145" t="n">
        <x:v>0.5</x:v>
      </x:c>
      <x:c r="I1093" s="136" t="str">
        <x:v>NONPOSITIVE-MODEL-MARGIN</x:v>
      </x:c>
      <x:c r="J1093" s="136" t="str">
        <x:v>V0.7-CONTROLLED-RESEARCH-SCREEN-NOT-DISTRIBUTION</x:v>
      </x:c>
    </x:row>
    <x:row r="1094" ht="22" customHeight="1">
      <x:c r="A1094" s="137" t="str">
        <x:v>SCR-1089</x:v>
      </x:c>
      <x:c r="B1094" s="142" t="n">
        <x:v>0.0000013179487179487177</x:v>
      </x:c>
      <x:c r="C1094" s="142" t="n">
        <x:v>0.009461538461538462</x:v>
      </x:c>
      <x:c r="D1094" s="160" t="n">
        <x:v>1</x:v>
      </x:c>
      <x:c r="E1094" s="162" t="n">
        <x:v>-2942.5685477815027</x:v>
      </x:c>
      <x:c r="F1094" s="162" t="n">
        <x:v>0</x:v>
      </x:c>
      <x:c r="G1094" s="144" t="n">
        <x:v>0.029769052504784625</x:v>
      </x:c>
      <x:c r="H1094" s="144" t="n">
        <x:v>0.5</x:v>
      </x:c>
      <x:c r="I1094" s="137" t="str">
        <x:v>NONPOSITIVE-MODEL-MARGIN</x:v>
      </x:c>
      <x:c r="J1094" s="137" t="str">
        <x:v>V0.7-CONTROLLED-RESEARCH-SCREEN-NOT-DISTRIBUTION</x:v>
      </x:c>
    </x:row>
    <x:row r="1095" ht="22" customHeight="1">
      <x:c r="A1095" s="136" t="str">
        <x:v>SCR-1090</x:v>
      </x:c>
      <x:c r="B1095" s="143" t="n">
        <x:v>0.0000013179487179487177</x:v>
      </x:c>
      <x:c r="C1095" s="143" t="n">
        <x:v>0.00976923076923077</x:v>
      </x:c>
      <x:c r="D1095" s="161" t="n">
        <x:v>1</x:v>
      </x:c>
      <x:c r="E1095" s="163" t="n">
        <x:v>-2960.0737662704432</x:v>
      </x:c>
      <x:c r="F1095" s="163" t="n">
        <x:v>0</x:v>
      </x:c>
      <x:c r="G1095" s="145" t="n">
        <x:v>0.030064007944890392</x:v>
      </x:c>
      <x:c r="H1095" s="145" t="n">
        <x:v>0.5</x:v>
      </x:c>
      <x:c r="I1095" s="136" t="str">
        <x:v>NONPOSITIVE-MODEL-MARGIN</x:v>
      </x:c>
      <x:c r="J1095" s="136" t="str">
        <x:v>V0.7-CONTROLLED-RESEARCH-SCREEN-NOT-DISTRIBUTION</x:v>
      </x:c>
    </x:row>
    <x:row r="1096" ht="22" customHeight="1">
      <x:c r="A1096" s="137" t="str">
        <x:v>SCR-1091</x:v>
      </x:c>
      <x:c r="B1096" s="142" t="n">
        <x:v>0.0000013179487179487177</x:v>
      </x:c>
      <x:c r="C1096" s="142" t="n">
        <x:v>0.010076923076923077</x:v>
      </x:c>
      <x:c r="D1096" s="160" t="n">
        <x:v>1</x:v>
      </x:c>
      <x:c r="E1096" s="162" t="n">
        <x:v>-2977.531723827603</x:v>
      </x:c>
      <x:c r="F1096" s="162" t="n">
        <x:v>0</x:v>
      </x:c>
      <x:c r="G1096" s="144" t="n">
        <x:v>0.030358963384996156</x:v>
      </x:c>
      <x:c r="H1096" s="144" t="n">
        <x:v>0.5</x:v>
      </x:c>
      <x:c r="I1096" s="137" t="str">
        <x:v>NONPOSITIVE-MODEL-MARGIN</x:v>
      </x:c>
      <x:c r="J1096" s="137" t="str">
        <x:v>V0.7-CONTROLLED-RESEARCH-SCREEN-NOT-DISTRIBUTION</x:v>
      </x:c>
    </x:row>
    <x:row r="1097" ht="22" customHeight="1">
      <x:c r="A1097" s="136" t="str">
        <x:v>SCR-1092</x:v>
      </x:c>
      <x:c r="B1097" s="143" t="n">
        <x:v>0.0000013179487179487177</x:v>
      </x:c>
      <x:c r="C1097" s="143" t="n">
        <x:v>0.010384615384615384</x:v>
      </x:c>
      <x:c r="D1097" s="161" t="n">
        <x:v>1</x:v>
      </x:c>
      <x:c r="E1097" s="163" t="n">
        <x:v>-2994.9427800074136</x:v>
      </x:c>
      <x:c r="F1097" s="163" t="n">
        <x:v>0</x:v>
      </x:c>
      <x:c r="G1097" s="145" t="n">
        <x:v>0.030653918825101902</x:v>
      </x:c>
      <x:c r="H1097" s="145" t="n">
        <x:v>0.5</x:v>
      </x:c>
      <x:c r="I1097" s="136" t="str">
        <x:v>NONPOSITIVE-MODEL-MARGIN</x:v>
      </x:c>
      <x:c r="J1097" s="136" t="str">
        <x:v>V0.7-CONTROLLED-RESEARCH-SCREEN-NOT-DISTRIBUTION</x:v>
      </x:c>
    </x:row>
    <x:row r="1098" ht="22" customHeight="1">
      <x:c r="A1098" s="137" t="str">
        <x:v>SCR-1093</x:v>
      </x:c>
      <x:c r="B1098" s="142" t="n">
        <x:v>0.0000013179487179487177</x:v>
      </x:c>
      <x:c r="C1098" s="142" t="n">
        <x:v>0.010692307692307692</x:v>
      </x:c>
      <x:c r="D1098" s="160" t="n">
        <x:v>1</x:v>
      </x:c>
      <x:c r="E1098" s="162" t="n">
        <x:v>-3012.3072889705522</x:v>
      </x:c>
      <x:c r="F1098" s="162" t="n">
        <x:v>0</x:v>
      </x:c>
      <x:c r="G1098" s="144" t="n">
        <x:v>0.03094887426520767</x:v>
      </x:c>
      <x:c r="H1098" s="144" t="n">
        <x:v>0.5</x:v>
      </x:c>
      <x:c r="I1098" s="137" t="str">
        <x:v>NONPOSITIVE-MODEL-MARGIN</x:v>
      </x:c>
      <x:c r="J1098" s="137" t="str">
        <x:v>V0.7-CONTROLLED-RESEARCH-SCREEN-NOT-DISTRIBUTION</x:v>
      </x:c>
    </x:row>
    <x:row r="1099" ht="22" customHeight="1">
      <x:c r="A1099" s="136" t="str">
        <x:v>SCR-1094</x:v>
      </x:c>
      <x:c r="B1099" s="143" t="n">
        <x:v>0.0000013179487179487177</x:v>
      </x:c>
      <x:c r="C1099" s="143" t="n">
        <x:v>0.011</x:v>
      </x:c>
      <x:c r="D1099" s="161" t="n">
        <x:v>1</x:v>
      </x:c>
      <x:c r="E1099" s="163" t="n">
        <x:v>-3029.6255995946262</x:v>
      </x:c>
      <x:c r="F1099" s="163" t="n">
        <x:v>0</x:v>
      </x:c>
      <x:c r="G1099" s="145" t="n">
        <x:v>0.03124382970531343</x:v>
      </x:c>
      <x:c r="H1099" s="145" t="n">
        <x:v>0.5</x:v>
      </x:c>
      <x:c r="I1099" s="136" t="str">
        <x:v>NONPOSITIVE-MODEL-MARGIN</x:v>
      </x:c>
      <x:c r="J1099" s="136" t="str">
        <x:v>V0.7-CONTROLLED-RESEARCH-SCREEN-NOT-DISTRIBUTION</x:v>
      </x:c>
    </x:row>
    <x:row r="1100" ht="22" customHeight="1">
      <x:c r="A1100" s="137" t="str">
        <x:v>SCR-1095</x:v>
      </x:c>
      <x:c r="B1100" s="142" t="n">
        <x:v>0.0000013179487179487177</x:v>
      </x:c>
      <x:c r="C1100" s="142" t="n">
        <x:v>0.011307692307692307</x:v>
      </x:c>
      <x:c r="D1100" s="160" t="n">
        <x:v>1</x:v>
      </x:c>
      <x:c r="E1100" s="162" t="n">
        <x:v>-3046.8980555822336</x:v>
      </x:c>
      <x:c r="F1100" s="162" t="n">
        <x:v>0</x:v>
      </x:c>
      <x:c r="G1100" s="144" t="n">
        <x:v>0.03153878514541919</x:v>
      </x:c>
      <x:c r="H1100" s="144" t="n">
        <x:v>0.5</x:v>
      </x:c>
      <x:c r="I1100" s="137" t="str">
        <x:v>NONPOSITIVE-MODEL-MARGIN</x:v>
      </x:c>
      <x:c r="J1100" s="137" t="str">
        <x:v>V0.7-CONTROLLED-RESEARCH-SCREEN-NOT-DISTRIBUTION</x:v>
      </x:c>
    </x:row>
    <x:row r="1101" ht="22" customHeight="1">
      <x:c r="A1101" s="136" t="str">
        <x:v>SCR-1096</x:v>
      </x:c>
      <x:c r="B1101" s="143" t="n">
        <x:v>0.0000013179487179487177</x:v>
      </x:c>
      <x:c r="C1101" s="143" t="n">
        <x:v>0.011615384615384614</x:v>
      </x:c>
      <x:c r="D1101" s="161" t="n">
        <x:v>1</x:v>
      </x:c>
      <x:c r="E1101" s="163" t="n">
        <x:v>-3064.12499556654</x:v>
      </x:c>
      <x:c r="F1101" s="163" t="n">
        <x:v>0</x:v>
      </x:c>
      <x:c r="G1101" s="145" t="n">
        <x:v>0.031833740585524954</x:v>
      </x:c>
      <x:c r="H1101" s="145" t="n">
        <x:v>0.5</x:v>
      </x:c>
      <x:c r="I1101" s="136" t="str">
        <x:v>NONPOSITIVE-MODEL-MARGIN</x:v>
      </x:c>
      <x:c r="J1101" s="136" t="str">
        <x:v>V0.7-CONTROLLED-RESEARCH-SCREEN-NOT-DISTRIBUTION</x:v>
      </x:c>
    </x:row>
    <x:row r="1102" ht="22" customHeight="1">
      <x:c r="A1102" s="137" t="str">
        <x:v>SCR-1097</x:v>
      </x:c>
      <x:c r="B1102" s="142" t="n">
        <x:v>0.0000013179487179487177</x:v>
      </x:c>
      <x:c r="C1102" s="142" t="n">
        <x:v>0.011923076923076925</x:v>
      </x:c>
      <x:c r="D1102" s="160" t="n">
        <x:v>1</x:v>
      </x:c>
      <x:c r="E1102" s="162" t="n">
        <x:v>-3081.3067532144096</x:v>
      </x:c>
      <x:c r="F1102" s="162" t="n">
        <x:v>0</x:v>
      </x:c>
      <x:c r="G1102" s="144" t="n">
        <x:v>0.032128696025630704</x:v>
      </x:c>
      <x:c r="H1102" s="144" t="n">
        <x:v>0.5</x:v>
      </x:c>
      <x:c r="I1102" s="137" t="str">
        <x:v>NONPOSITIVE-MODEL-MARGIN</x:v>
      </x:c>
      <x:c r="J1102" s="137" t="str">
        <x:v>V0.7-CONTROLLED-RESEARCH-SCREEN-NOT-DISTRIBUTION</x:v>
      </x:c>
    </x:row>
    <x:row r="1103" ht="22" customHeight="1">
      <x:c r="A1103" s="136" t="str">
        <x:v>SCR-1098</x:v>
      </x:c>
      <x:c r="B1103" s="143" t="n">
        <x:v>0.0000013179487179487177</x:v>
      </x:c>
      <x:c r="C1103" s="143" t="n">
        <x:v>0.012230769230769233</x:v>
      </x:c>
      <x:c r="D1103" s="161" t="n">
        <x:v>1</x:v>
      </x:c>
      <x:c r="E1103" s="163" t="n">
        <x:v>-3098.4436573271328</x:v>
      </x:c>
      <x:c r="F1103" s="163" t="n">
        <x:v>0</x:v>
      </x:c>
      <x:c r="G1103" s="145" t="n">
        <x:v>0.03242365146573647</x:v>
      </x:c>
      <x:c r="H1103" s="145" t="n">
        <x:v>0.5</x:v>
      </x:c>
      <x:c r="I1103" s="136" t="str">
        <x:v>NONPOSITIVE-MODEL-MARGIN</x:v>
      </x:c>
      <x:c r="J1103" s="136" t="str">
        <x:v>V0.7-CONTROLLED-RESEARCH-SCREEN-NOT-DISTRIBUTION</x:v>
      </x:c>
    </x:row>
    <x:row r="1104" ht="22" customHeight="1">
      <x:c r="A1104" s="137" t="str">
        <x:v>SCR-1099</x:v>
      </x:c>
      <x:c r="B1104" s="142" t="n">
        <x:v>0.0000013179487179487177</x:v>
      </x:c>
      <x:c r="C1104" s="142" t="n">
        <x:v>0.01253846153846154</x:v>
      </x:c>
      <x:c r="D1104" s="160" t="n">
        <x:v>1</x:v>
      </x:c>
      <x:c r="E1104" s="162" t="n">
        <x:v>-3115.5360319387346</x:v>
      </x:c>
      <x:c r="F1104" s="162" t="n">
        <x:v>0</x:v>
      </x:c>
      <x:c r="G1104" s="144" t="n">
        <x:v>0.03271860690584223</x:v>
      </x:c>
      <x:c r="H1104" s="144" t="n">
        <x:v>0.5</x:v>
      </x:c>
      <x:c r="I1104" s="137" t="str">
        <x:v>NONPOSITIVE-MODEL-MARGIN</x:v>
      </x:c>
      <x:c r="J1104" s="137" t="str">
        <x:v>V0.7-CONTROLLED-RESEARCH-SCREEN-NOT-DISTRIBUTION</x:v>
      </x:c>
    </x:row>
    <x:row r="1105" ht="22" customHeight="1">
      <x:c r="A1105" s="136" t="str">
        <x:v>SCR-1100</x:v>
      </x:c>
      <x:c r="B1105" s="143" t="n">
        <x:v>0.0000013179487179487177</x:v>
      </x:c>
      <x:c r="C1105" s="143" t="n">
        <x:v>0.012846153846153847</x:v>
      </x:c>
      <x:c r="D1105" s="161" t="n">
        <x:v>1</x:v>
      </x:c>
      <x:c r="E1105" s="163" t="n">
        <x:v>-3132.584196412047</x:v>
      </x:c>
      <x:c r="F1105" s="163" t="n">
        <x:v>0</x:v>
      </x:c>
      <x:c r="G1105" s="145" t="n">
        <x:v>0.03301356234594799</x:v>
      </x:c>
      <x:c r="H1105" s="145" t="n">
        <x:v>0.5</x:v>
      </x:c>
      <x:c r="I1105" s="136" t="str">
        <x:v>NONPOSITIVE-MODEL-MARGIN</x:v>
      </x:c>
      <x:c r="J1105" s="136" t="str">
        <x:v>V0.7-CONTROLLED-RESEARCH-SCREEN-NOT-DISTRIBUTION</x:v>
      </x:c>
    </x:row>
    <x:row r="1106" ht="22" customHeight="1">
      <x:c r="A1106" s="137" t="str">
        <x:v>SCR-1101</x:v>
      </x:c>
      <x:c r="B1106" s="142" t="n">
        <x:v>0.0000013179487179487177</x:v>
      </x:c>
      <x:c r="C1106" s="142" t="n">
        <x:v>0.013153846153846155</x:v>
      </x:c>
      <x:c r="D1106" s="160" t="n">
        <x:v>1</x:v>
      </x:c>
      <x:c r="E1106" s="162" t="n">
        <x:v>-3149.5884655324367</x:v>
      </x:c>
      <x:c r="F1106" s="162" t="n">
        <x:v>0</x:v>
      </x:c>
      <x:c r="G1106" s="144" t="n">
        <x:v>0.03330851778605374</x:v>
      </x:c>
      <x:c r="H1106" s="144" t="n">
        <x:v>0.5</x:v>
      </x:c>
      <x:c r="I1106" s="137" t="str">
        <x:v>NONPOSITIVE-MODEL-MARGIN</x:v>
      </x:c>
      <x:c r="J1106" s="137" t="str">
        <x:v>V0.7-CONTROLLED-RESEARCH-SCREEN-NOT-DISTRIBUTION</x:v>
      </x:c>
    </x:row>
    <x:row r="1107" ht="22" customHeight="1">
      <x:c r="A1107" s="136" t="str">
        <x:v>SCR-1102</x:v>
      </x:c>
      <x:c r="B1107" s="143" t="n">
        <x:v>0.0000013179487179487177</x:v>
      </x:c>
      <x:c r="C1107" s="143" t="n">
        <x:v>0.013461538461538462</x:v>
      </x:c>
      <x:c r="D1107" s="161" t="n">
        <x:v>1</x:v>
      </x:c>
      <x:c r="E1107" s="163" t="n">
        <x:v>-3166.5491495993683</x:v>
      </x:c>
      <x:c r="F1107" s="163" t="n">
        <x:v>0</x:v>
      </x:c>
      <x:c r="G1107" s="145" t="n">
        <x:v>0.0336034732261595</x:v>
      </x:c>
      <x:c r="H1107" s="145" t="n">
        <x:v>0.5</x:v>
      </x:c>
      <x:c r="I1107" s="136" t="str">
        <x:v>NONPOSITIVE-MODEL-MARGIN</x:v>
      </x:c>
      <x:c r="J1107" s="136" t="str">
        <x:v>V0.7-CONTROLLED-RESEARCH-SCREEN-NOT-DISTRIBUTION</x:v>
      </x:c>
    </x:row>
    <x:row r="1108" ht="22" customHeight="1">
      <x:c r="A1108" s="137" t="str">
        <x:v>SCR-1103</x:v>
      </x:c>
      <x:c r="B1108" s="142" t="n">
        <x:v>0.0000013179487179487177</x:v>
      </x:c>
      <x:c r="C1108" s="142" t="n">
        <x:v>0.01376923076923077</x:v>
      </x:c>
      <x:c r="D1108" s="160" t="n">
        <x:v>1</x:v>
      </x:c>
      <x:c r="E1108" s="162" t="n">
        <x:v>-3183.4665545157895</x:v>
      </x:c>
      <x:c r="F1108" s="162" t="n">
        <x:v>0</x:v>
      </x:c>
      <x:c r="G1108" s="144" t="n">
        <x:v>0.03389842866626527</x:v>
      </x:c>
      <x:c r="H1108" s="144" t="n">
        <x:v>0.5</x:v>
      </x:c>
      <x:c r="I1108" s="137" t="str">
        <x:v>NONPOSITIVE-MODEL-MARGIN</x:v>
      </x:c>
      <x:c r="J1108" s="137" t="str">
        <x:v>V0.7-CONTROLLED-RESEARCH-SCREEN-NOT-DISTRIBUTION</x:v>
      </x:c>
    </x:row>
    <x:row r="1109" ht="22" customHeight="1">
      <x:c r="A1109" s="136" t="str">
        <x:v>SCR-1104</x:v>
      </x:c>
      <x:c r="B1109" s="143" t="n">
        <x:v>0.0000013179487179487177</x:v>
      </x:c>
      <x:c r="C1109" s="143" t="n">
        <x:v>0.014076923076923077</x:v>
      </x:c>
      <x:c r="D1109" s="161" t="n">
        <x:v>1</x:v>
      </x:c>
      <x:c r="E1109" s="163" t="n">
        <x:v>-3200.340981875362</x:v>
      </x:c>
      <x:c r="F1109" s="163" t="n">
        <x:v>0</x:v>
      </x:c>
      <x:c r="G1109" s="145" t="n">
        <x:v>0.03419338410637103</x:v>
      </x:c>
      <x:c r="H1109" s="145" t="n">
        <x:v>0.5</x:v>
      </x:c>
      <x:c r="I1109" s="136" t="str">
        <x:v>NONPOSITIVE-MODEL-MARGIN</x:v>
      </x:c>
      <x:c r="J1109" s="136" t="str">
        <x:v>V0.7-CONTROLLED-RESEARCH-SCREEN-NOT-DISTRIBUTION</x:v>
      </x:c>
    </x:row>
    <x:row r="1110" ht="22" customHeight="1">
      <x:c r="A1110" s="137" t="str">
        <x:v>SCR-1105</x:v>
      </x:c>
      <x:c r="B1110" s="142" t="n">
        <x:v>0.0000013179487179487177</x:v>
      </x:c>
      <x:c r="C1110" s="142" t="n">
        <x:v>0.014384615384615385</x:v>
      </x:c>
      <x:c r="D1110" s="160" t="n">
        <x:v>1</x:v>
      </x:c>
      <x:c r="E1110" s="162" t="n">
        <x:v>-3217.172729047683</x:v>
      </x:c>
      <x:c r="F1110" s="162" t="n">
        <x:v>0</x:v>
      </x:c>
      <x:c r="G1110" s="144" t="n">
        <x:v>0.03448833954647678</x:v>
      </x:c>
      <x:c r="H1110" s="144" t="n">
        <x:v>0.5</x:v>
      </x:c>
      <x:c r="I1110" s="137" t="str">
        <x:v>NONPOSITIVE-MODEL-MARGIN</x:v>
      </x:c>
      <x:c r="J1110" s="137" t="str">
        <x:v>V0.7-CONTROLLED-RESEARCH-SCREEN-NOT-DISTRIBUTION</x:v>
      </x:c>
    </x:row>
    <x:row r="1111" ht="22" customHeight="1">
      <x:c r="A1111" s="136" t="str">
        <x:v>SCR-1106</x:v>
      </x:c>
      <x:c r="B1111" s="143" t="n">
        <x:v>0.0000013179487179487177</x:v>
      </x:c>
      <x:c r="C1111" s="143" t="n">
        <x:v>0.014692307692307692</x:v>
      </x:c>
      <x:c r="D1111" s="161" t="n">
        <x:v>1</x:v>
      </x:c>
      <x:c r="E1111" s="163" t="n">
        <x:v>-3233.962089261422</x:v>
      </x:c>
      <x:c r="F1111" s="163" t="n">
        <x:v>0</x:v>
      </x:c>
      <x:c r="G1111" s="145" t="n">
        <x:v>0.03478329498658255</x:v>
      </x:c>
      <x:c r="H1111" s="145" t="n">
        <x:v>0.5</x:v>
      </x:c>
      <x:c r="I1111" s="136" t="str">
        <x:v>NONPOSITIVE-MODEL-MARGIN</x:v>
      </x:c>
      <x:c r="J1111" s="136" t="str">
        <x:v>V0.7-CONTROLLED-RESEARCH-SCREEN-NOT-DISTRIBUTION</x:v>
      </x:c>
    </x:row>
    <x:row r="1112" ht="22" customHeight="1">
      <x:c r="A1112" s="137" t="str">
        <x:v>SCR-1107</x:v>
      </x:c>
      <x:c r="B1112" s="142" t="n">
        <x:v>0.0000013179487179487177</x:v>
      </x:c>
      <x:c r="C1112" s="142" t="n">
        <x:v>0.015</x:v>
      </x:c>
      <x:c r="D1112" s="160" t="n">
        <x:v>1</x:v>
      </x:c>
      <x:c r="E1112" s="162" t="n">
        <x:v>-3250.7093516855234</x:v>
      </x:c>
      <x:c r="F1112" s="162" t="n">
        <x:v>0</x:v>
      </x:c>
      <x:c r="G1112" s="144" t="n">
        <x:v>0.0350782504266883</x:v>
      </x:c>
      <x:c r="H1112" s="144" t="n">
        <x:v>0.5</x:v>
      </x:c>
      <x:c r="I1112" s="137" t="str">
        <x:v>NONPOSITIVE-MODEL-MARGIN</x:v>
      </x:c>
      <x:c r="J1112" s="137" t="str">
        <x:v>V0.7-CONTROLLED-RESEARCH-SCREEN-NOT-DISTRIBUTION</x:v>
      </x:c>
    </x:row>
    <x:row r="1113" ht="22" customHeight="1">
      <x:c r="A1113" s="136" t="str">
        <x:v>SCR-1108</x:v>
      </x:c>
      <x:c r="B1113" s="143" t="n">
        <x:v>0.0000013666666666666666</x:v>
      </x:c>
      <x:c r="C1113" s="143" t="n">
        <x:v>0.003</x:v>
      </x:c>
      <x:c r="D1113" s="161" t="n">
        <x:v>1</x:v>
      </x:c>
      <x:c r="E1113" s="163" t="n">
        <x:v>-2603.080901040004</x:v>
      </x:c>
      <x:c r="F1113" s="163" t="n">
        <x:v>0</x:v>
      </x:c>
      <x:c r="G1113" s="145" t="n">
        <x:v>0.024286096642526372</x:v>
      </x:c>
      <x:c r="H1113" s="145" t="n">
        <x:v>0.5</x:v>
      </x:c>
      <x:c r="I1113" s="136" t="str">
        <x:v>NONPOSITIVE-MODEL-MARGIN</x:v>
      </x:c>
      <x:c r="J1113" s="136" t="str">
        <x:v>V0.7-CONTROLLED-RESEARCH-SCREEN-NOT-DISTRIBUTION</x:v>
      </x:c>
    </x:row>
    <x:row r="1114" ht="22" customHeight="1">
      <x:c r="A1114" s="137" t="str">
        <x:v>SCR-1109</x:v>
      </x:c>
      <x:c r="B1114" s="142" t="n">
        <x:v>0.0000013666666666666666</x:v>
      </x:c>
      <x:c r="C1114" s="142" t="n">
        <x:v>0.003307692307692308</x:v>
      </x:c>
      <x:c r="D1114" s="160" t="n">
        <x:v>1</x:v>
      </x:c>
      <x:c r="E1114" s="162" t="n">
        <x:v>-2625.247277598811</x:v>
      </x:c>
      <x:c r="F1114" s="162" t="n">
        <x:v>0</x:v>
      </x:c>
      <x:c r="G1114" s="144" t="n">
        <x:v>0.024580611863697463</x:v>
      </x:c>
      <x:c r="H1114" s="144" t="n">
        <x:v>0.5</x:v>
      </x:c>
      <x:c r="I1114" s="137" t="str">
        <x:v>NONPOSITIVE-MODEL-MARGIN</x:v>
      </x:c>
      <x:c r="J1114" s="137" t="str">
        <x:v>V0.7-CONTROLLED-RESEARCH-SCREEN-NOT-DISTRIBUTION</x:v>
      </x:c>
    </x:row>
    <x:row r="1115" ht="22" customHeight="1">
      <x:c r="A1115" s="136" t="str">
        <x:v>SCR-1110</x:v>
      </x:c>
      <x:c r="B1115" s="143" t="n">
        <x:v>0.0000013666666666666666</x:v>
      </x:c>
      <x:c r="C1115" s="143" t="n">
        <x:v>0.0036153846153846154</x:v>
      </x:c>
      <x:c r="D1115" s="161" t="n">
        <x:v>1</x:v>
      </x:c>
      <x:c r="E1115" s="163" t="n">
        <x:v>-2643.6651981359364</x:v>
      </x:c>
      <x:c r="F1115" s="163" t="n">
        <x:v>0</x:v>
      </x:c>
      <x:c r="G1115" s="145" t="n">
        <x:v>0.024875127084868557</x:v>
      </x:c>
      <x:c r="H1115" s="145" t="n">
        <x:v>0.5</x:v>
      </x:c>
      <x:c r="I1115" s="136" t="str">
        <x:v>NONPOSITIVE-MODEL-MARGIN</x:v>
      </x:c>
      <x:c r="J1115" s="136" t="str">
        <x:v>V0.7-CONTROLLED-RESEARCH-SCREEN-NOT-DISTRIBUTION</x:v>
      </x:c>
    </x:row>
    <x:row r="1116" ht="22" customHeight="1">
      <x:c r="A1116" s="137" t="str">
        <x:v>SCR-1111</x:v>
      </x:c>
      <x:c r="B1116" s="142" t="n">
        <x:v>0.0000013666666666666666</x:v>
      </x:c>
      <x:c r="C1116" s="142" t="n">
        <x:v>0.003923076923076923</x:v>
      </x:c>
      <x:c r="D1116" s="160" t="n">
        <x:v>1</x:v>
      </x:c>
      <x:c r="E1116" s="162" t="n">
        <x:v>-2662.028414372942</x:v>
      </x:c>
      <x:c r="F1116" s="162" t="n">
        <x:v>0</x:v>
      </x:c>
      <x:c r="G1116" s="144" t="n">
        <x:v>0.02516964230603965</x:v>
      </x:c>
      <x:c r="H1116" s="144" t="n">
        <x:v>0.5</x:v>
      </x:c>
      <x:c r="I1116" s="137" t="str">
        <x:v>NONPOSITIVE-MODEL-MARGIN</x:v>
      </x:c>
      <x:c r="J1116" s="137" t="str">
        <x:v>V0.7-CONTROLLED-RESEARCH-SCREEN-NOT-DISTRIBUTION</x:v>
      </x:c>
    </x:row>
    <x:row r="1117" ht="22" customHeight="1">
      <x:c r="A1117" s="136" t="str">
        <x:v>SCR-1112</x:v>
      </x:c>
      <x:c r="B1117" s="143" t="n">
        <x:v>0.0000013666666666666666</x:v>
      </x:c>
      <x:c r="C1117" s="143" t="n">
        <x:v>0.004230769230769231</x:v>
      </x:c>
      <x:c r="D1117" s="161" t="n">
        <x:v>1</x:v>
      </x:c>
      <x:c r="E1117" s="163" t="n">
        <x:v>-2680.3374045947585</x:v>
      </x:c>
      <x:c r="F1117" s="163" t="n">
        <x:v>0</x:v>
      </x:c>
      <x:c r="G1117" s="145" t="n">
        <x:v>0.02546415752721074</x:v>
      </x:c>
      <x:c r="H1117" s="145" t="n">
        <x:v>0.5</x:v>
      </x:c>
      <x:c r="I1117" s="136" t="str">
        <x:v>NONPOSITIVE-MODEL-MARGIN</x:v>
      </x:c>
      <x:c r="J1117" s="136" t="str">
        <x:v>V0.7-CONTROLLED-RESEARCH-SCREEN-NOT-DISTRIBUTION</x:v>
      </x:c>
    </x:row>
    <x:row r="1118" ht="22" customHeight="1">
      <x:c r="A1118" s="137" t="str">
        <x:v>SCR-1113</x:v>
      </x:c>
      <x:c r="B1118" s="142" t="n">
        <x:v>0.0000013666666666666666</x:v>
      </x:c>
      <x:c r="C1118" s="142" t="n">
        <x:v>0.004538461538461538</x:v>
      </x:c>
      <x:c r="D1118" s="160" t="n">
        <x:v>1</x:v>
      </x:c>
      <x:c r="E1118" s="162" t="n">
        <x:v>-2698.592639194381</x:v>
      </x:c>
      <x:c r="F1118" s="162" t="n">
        <x:v>0</x:v>
      </x:c>
      <x:c r="G1118" s="144" t="n">
        <x:v>0.025758672748381835</x:v>
      </x:c>
      <x:c r="H1118" s="144" t="n">
        <x:v>0.5</x:v>
      </x:c>
      <x:c r="I1118" s="137" t="str">
        <x:v>NONPOSITIVE-MODEL-MARGIN</x:v>
      </x:c>
      <x:c r="J1118" s="137" t="str">
        <x:v>V0.7-CONTROLLED-RESEARCH-SCREEN-NOT-DISTRIBUTION</x:v>
      </x:c>
    </x:row>
    <x:row r="1119" ht="22" customHeight="1">
      <x:c r="A1119" s="136" t="str">
        <x:v>SCR-1114</x:v>
      </x:c>
      <x:c r="B1119" s="143" t="n">
        <x:v>0.0000013666666666666666</x:v>
      </x:c>
      <x:c r="C1119" s="143" t="n">
        <x:v>0.004846153846153846</x:v>
      </x:c>
      <x:c r="D1119" s="161" t="n">
        <x:v>1</x:v>
      </x:c>
      <x:c r="E1119" s="163" t="n">
        <x:v>-2716.794580835489</x:v>
      </x:c>
      <x:c r="F1119" s="163" t="n">
        <x:v>0</x:v>
      </x:c>
      <x:c r="G1119" s="145" t="n">
        <x:v>0.026053187969552926</x:v>
      </x:c>
      <x:c r="H1119" s="145" t="n">
        <x:v>0.5</x:v>
      </x:c>
      <x:c r="I1119" s="136" t="str">
        <x:v>NONPOSITIVE-MODEL-MARGIN</x:v>
      </x:c>
      <x:c r="J1119" s="136" t="str">
        <x:v>V0.7-CONTROLLED-RESEARCH-SCREEN-NOT-DISTRIBUTION</x:v>
      </x:c>
    </x:row>
    <x:row r="1120" ht="22" customHeight="1">
      <x:c r="A1120" s="137" t="str">
        <x:v>SCR-1115</x:v>
      </x:c>
      <x:c r="B1120" s="142" t="n">
        <x:v>0.0000013666666666666666</x:v>
      </x:c>
      <x:c r="C1120" s="142" t="n">
        <x:v>0.005</x:v>
      </x:c>
      <x:c r="D1120" s="160" t="n">
        <x:v>1</x:v>
      </x:c>
      <x:c r="E1120" s="162" t="n">
        <x:v>-2725.8757093049558</x:v>
      </x:c>
      <x:c r="F1120" s="162" t="n">
        <x:v>0</x:v>
      </x:c>
      <x:c r="G1120" s="144" t="n">
        <x:v>0.026200445580138475</x:v>
      </x:c>
      <x:c r="H1120" s="144" t="n">
        <x:v>0.5</x:v>
      </x:c>
      <x:c r="I1120" s="137" t="str">
        <x:v>NONPOSITIVE-MODEL-MARGIN</x:v>
      </x:c>
      <x:c r="J1120" s="137" t="str">
        <x:v>V0.7-CONTROLLED-RESEARCH-SCREEN-NOT-DISTRIBUTION</x:v>
      </x:c>
    </x:row>
    <x:row r="1121" ht="22" customHeight="1">
      <x:c r="A1121" s="136" t="str">
        <x:v>SCR-1116</x:v>
      </x:c>
      <x:c r="B1121" s="143" t="n">
        <x:v>0.0000013666666666666666</x:v>
      </x:c>
      <x:c r="C1121" s="143" t="n">
        <x:v>0.005153846153846154</x:v>
      </x:c>
      <x:c r="D1121" s="161" t="n">
        <x:v>1</x:v>
      </x:c>
      <x:c r="E1121" s="163" t="n">
        <x:v>-2734.9436846125145</x:v>
      </x:c>
      <x:c r="F1121" s="163" t="n">
        <x:v>0</x:v>
      </x:c>
      <x:c r="G1121" s="145" t="n">
        <x:v>0.026347703190724017</x:v>
      </x:c>
      <x:c r="H1121" s="145" t="n">
        <x:v>0.5</x:v>
      </x:c>
      <x:c r="I1121" s="136" t="str">
        <x:v>NONPOSITIVE-MODEL-MARGIN</x:v>
      </x:c>
      <x:c r="J1121" s="136" t="str">
        <x:v>V0.7-CONTROLLED-RESEARCH-SCREEN-NOT-DISTRIBUTION</x:v>
      </x:c>
    </x:row>
    <x:row r="1122" ht="22" customHeight="1">
      <x:c r="A1122" s="137" t="str">
        <x:v>SCR-1117</x:v>
      </x:c>
      <x:c r="B1122" s="142" t="n">
        <x:v>0.0000013666666666666666</x:v>
      </x:c>
      <x:c r="C1122" s="142" t="n">
        <x:v>0.005461538461538462</x:v>
      </x:c>
      <x:c r="D1122" s="160" t="n">
        <x:v>1</x:v>
      </x:c>
      <x:c r="E1122" s="162" t="n">
        <x:v>-2753.0403982081098</x:v>
      </x:c>
      <x:c r="F1122" s="162" t="n">
        <x:v>0</x:v>
      </x:c>
      <x:c r="G1122" s="144" t="n">
        <x:v>0.02664221841189511</x:v>
      </x:c>
      <x:c r="H1122" s="144" t="n">
        <x:v>0.5</x:v>
      </x:c>
      <x:c r="I1122" s="137" t="str">
        <x:v>NONPOSITIVE-MODEL-MARGIN</x:v>
      </x:c>
      <x:c r="J1122" s="137" t="str">
        <x:v>V0.7-CONTROLLED-RESEARCH-SCREEN-NOT-DISTRIBUTION</x:v>
      </x:c>
    </x:row>
    <x:row r="1123" ht="22" customHeight="1">
      <x:c r="A1123" s="136" t="str">
        <x:v>SCR-1118</x:v>
      </x:c>
      <x:c r="B1123" s="143" t="n">
        <x:v>0.0000013666666666666666</x:v>
      </x:c>
      <x:c r="C1123" s="143" t="n">
        <x:v>0.0057692307692307696</x:v>
      </x:c>
      <x:c r="D1123" s="161" t="n">
        <x:v>1</x:v>
      </x:c>
      <x:c r="E1123" s="163" t="n">
        <x:v>-2771.085162047863</x:v>
      </x:c>
      <x:c r="F1123" s="163" t="n">
        <x:v>0</x:v>
      </x:c>
      <x:c r="G1123" s="145" t="n">
        <x:v>0.026936733633066205</x:v>
      </x:c>
      <x:c r="H1123" s="145" t="n">
        <x:v>0.5</x:v>
      </x:c>
      <x:c r="I1123" s="136" t="str">
        <x:v>NONPOSITIVE-MODEL-MARGIN</x:v>
      </x:c>
      <x:c r="J1123" s="136" t="str">
        <x:v>V0.7-CONTROLLED-RESEARCH-SCREEN-NOT-DISTRIBUTION</x:v>
      </x:c>
    </x:row>
    <x:row r="1124" ht="22" customHeight="1">
      <x:c r="A1124" s="137" t="str">
        <x:v>SCR-1119</x:v>
      </x:c>
      <x:c r="B1124" s="142" t="n">
        <x:v>0.0000013666666666666666</x:v>
      </x:c>
      <x:c r="C1124" s="142" t="n">
        <x:v>0.006076923076923077</x:v>
      </x:c>
      <x:c r="D1124" s="160" t="n">
        <x:v>1</x:v>
      </x:c>
      <x:c r="E1124" s="162" t="n">
        <x:v>-2789.0784094521573</x:v>
      </x:c>
      <x:c r="F1124" s="162" t="n">
        <x:v>0</x:v>
      </x:c>
      <x:c r="G1124" s="144" t="n">
        <x:v>0.027231248854237295</x:v>
      </x:c>
      <x:c r="H1124" s="144" t="n">
        <x:v>0.5</x:v>
      </x:c>
      <x:c r="I1124" s="137" t="str">
        <x:v>NONPOSITIVE-MODEL-MARGIN</x:v>
      </x:c>
      <x:c r="J1124" s="137" t="str">
        <x:v>V0.7-CONTROLLED-RESEARCH-SCREEN-NOT-DISTRIBUTION</x:v>
      </x:c>
    </x:row>
    <x:row r="1125" ht="22" customHeight="1">
      <x:c r="A1125" s="136" t="str">
        <x:v>SCR-1120</x:v>
      </x:c>
      <x:c r="B1125" s="143" t="n">
        <x:v>0.0000013666666666666666</x:v>
      </x:c>
      <x:c r="C1125" s="143" t="n">
        <x:v>0.006384615384615384</x:v>
      </x:c>
      <x:c r="D1125" s="161" t="n">
        <x:v>1</x:v>
      </x:c>
      <x:c r="E1125" s="163" t="n">
        <x:v>-2807.0205667851624</x:v>
      </x:c>
      <x:c r="F1125" s="163" t="n">
        <x:v>0</x:v>
      </x:c>
      <x:c r="G1125" s="145" t="n">
        <x:v>0.02752576407540839</x:v>
      </x:c>
      <x:c r="H1125" s="145" t="n">
        <x:v>0.5</x:v>
      </x:c>
      <x:c r="I1125" s="136" t="str">
        <x:v>NONPOSITIVE-MODEL-MARGIN</x:v>
      </x:c>
      <x:c r="J1125" s="136" t="str">
        <x:v>V0.7-CONTROLLED-RESEARCH-SCREEN-NOT-DISTRIBUTION</x:v>
      </x:c>
    </x:row>
    <x:row r="1126" ht="22" customHeight="1">
      <x:c r="A1126" s="137" t="str">
        <x:v>SCR-1121</x:v>
      </x:c>
      <x:c r="B1126" s="142" t="n">
        <x:v>0.0000013666666666666666</x:v>
      </x:c>
      <x:c r="C1126" s="142" t="n">
        <x:v>0.006692307692307693</x:v>
      </x:c>
      <x:c r="D1126" s="160" t="n">
        <x:v>1</x:v>
      </x:c>
      <x:c r="E1126" s="162" t="n">
        <x:v>-2824.912053600913</x:v>
      </x:c>
      <x:c r="F1126" s="162" t="n">
        <x:v>0</x:v>
      </x:c>
      <x:c r="G1126" s="144" t="n">
        <x:v>0.027820279296579483</x:v>
      </x:c>
      <x:c r="H1126" s="144" t="n">
        <x:v>0.5</x:v>
      </x:c>
      <x:c r="I1126" s="137" t="str">
        <x:v>NONPOSITIVE-MODEL-MARGIN</x:v>
      </x:c>
      <x:c r="J1126" s="137" t="str">
        <x:v>V0.7-CONTROLLED-RESEARCH-SCREEN-NOT-DISTRIBUTION</x:v>
      </x:c>
    </x:row>
    <x:row r="1127" ht="22" customHeight="1">
      <x:c r="A1127" s="136" t="str">
        <x:v>SCR-1122</x:v>
      </x:c>
      <x:c r="B1127" s="143" t="n">
        <x:v>0.0000013666666666666666</x:v>
      </x:c>
      <x:c r="C1127" s="143" t="n">
        <x:v>0.007</x:v>
      </x:c>
      <x:c r="D1127" s="161" t="n">
        <x:v>1</x:v>
      </x:c>
      <x:c r="E1127" s="163" t="n">
        <x:v>-2842.7532827864466</x:v>
      </x:c>
      <x:c r="F1127" s="163" t="n">
        <x:v>0</x:v>
      </x:c>
      <x:c r="G1127" s="145" t="n">
        <x:v>0.02811479451775057</x:v>
      </x:c>
      <x:c r="H1127" s="145" t="n">
        <x:v>0.5</x:v>
      </x:c>
      <x:c r="I1127" s="136" t="str">
        <x:v>NONPOSITIVE-MODEL-MARGIN</x:v>
      </x:c>
      <x:c r="J1127" s="136" t="str">
        <x:v>V0.7-CONTROLLED-RESEARCH-SCREEN-NOT-DISTRIBUTION</x:v>
      </x:c>
    </x:row>
    <x:row r="1128" ht="22" customHeight="1">
      <x:c r="A1128" s="137" t="str">
        <x:v>SCR-1123</x:v>
      </x:c>
      <x:c r="B1128" s="142" t="n">
        <x:v>0.0000013666666666666666</x:v>
      </x:c>
      <x:c r="C1128" s="142" t="n">
        <x:v>0.007307692307692308</x:v>
      </x:c>
      <x:c r="D1128" s="160" t="n">
        <x:v>1</x:v>
      </x:c>
      <x:c r="E1128" s="162" t="n">
        <x:v>-2864.0768784179777</x:v>
      </x:c>
      <x:c r="F1128" s="162" t="n">
        <x:v>0</x:v>
      </x:c>
      <x:c r="G1128" s="144" t="n">
        <x:v>0.028409309738921668</x:v>
      </x:c>
      <x:c r="H1128" s="144" t="n">
        <x:v>0.5</x:v>
      </x:c>
      <x:c r="I1128" s="137" t="str">
        <x:v>NONPOSITIVE-MODEL-MARGIN</x:v>
      </x:c>
      <x:c r="J1128" s="137" t="str">
        <x:v>V0.7-CONTROLLED-RESEARCH-SCREEN-NOT-DISTRIBUTION</x:v>
      </x:c>
    </x:row>
    <x:row r="1129" ht="22" customHeight="1">
      <x:c r="A1129" s="136" t="str">
        <x:v>SCR-1124</x:v>
      </x:c>
      <x:c r="B1129" s="143" t="n">
        <x:v>0.0000013666666666666666</x:v>
      </x:c>
      <x:c r="C1129" s="143" t="n">
        <x:v>0.007615384615384616</x:v>
      </x:c>
      <x:c r="D1129" s="161" t="n">
        <x:v>1</x:v>
      </x:c>
      <x:c r="E1129" s="163" t="n">
        <x:v>-2881.8081883725017</x:v>
      </x:c>
      <x:c r="F1129" s="163" t="n">
        <x:v>0</x:v>
      </x:c>
      <x:c r="G1129" s="145" t="n">
        <x:v>0.028703824960092758</x:v>
      </x:c>
      <x:c r="H1129" s="145" t="n">
        <x:v>0.5</x:v>
      </x:c>
      <x:c r="I1129" s="136" t="str">
        <x:v>NONPOSITIVE-MODEL-MARGIN</x:v>
      </x:c>
      <x:c r="J1129" s="136" t="str">
        <x:v>V0.7-CONTROLLED-RESEARCH-SCREEN-NOT-DISTRIBUTION</x:v>
      </x:c>
    </x:row>
    <x:row r="1130" ht="22" customHeight="1">
      <x:c r="A1130" s="137" t="str">
        <x:v>SCR-1125</x:v>
      </x:c>
      <x:c r="B1130" s="142" t="n">
        <x:v>0.0000013666666666666666</x:v>
      </x:c>
      <x:c r="C1130" s="142" t="n">
        <x:v>0.007923076923076923</x:v>
      </x:c>
      <x:c r="D1130" s="160" t="n">
        <x:v>1</x:v>
      </x:c>
      <x:c r="E1130" s="162" t="n">
        <x:v>-2899.4905459337206</x:v>
      </x:c>
      <x:c r="F1130" s="162" t="n">
        <x:v>0</x:v>
      </x:c>
      <x:c r="G1130" s="144" t="n">
        <x:v>0.02899834018126385</x:v>
      </x:c>
      <x:c r="H1130" s="144" t="n">
        <x:v>0.5</x:v>
      </x:c>
      <x:c r="I1130" s="137" t="str">
        <x:v>NONPOSITIVE-MODEL-MARGIN</x:v>
      </x:c>
      <x:c r="J1130" s="137" t="str">
        <x:v>V0.7-CONTROLLED-RESEARCH-SCREEN-NOT-DISTRIBUTION</x:v>
      </x:c>
    </x:row>
    <x:row r="1131" ht="22" customHeight="1">
      <x:c r="A1131" s="136" t="str">
        <x:v>SCR-1126</x:v>
      </x:c>
      <x:c r="B1131" s="143" t="n">
        <x:v>0.0000013666666666666666</x:v>
      </x:c>
      <x:c r="C1131" s="143" t="n">
        <x:v>0.00823076923076923</x:v>
      </x:c>
      <x:c r="D1131" s="161" t="n">
        <x:v>1</x:v>
      </x:c>
      <x:c r="E1131" s="163" t="n">
        <x:v>-2917.1243365646883</x:v>
      </x:c>
      <x:c r="F1131" s="163" t="n">
        <x:v>0</x:v>
      </x:c>
      <x:c r="G1131" s="145" t="n">
        <x:v>0.029292855402434943</x:v>
      </x:c>
      <x:c r="H1131" s="145" t="n">
        <x:v>0.5</x:v>
      </x:c>
      <x:c r="I1131" s="136" t="str">
        <x:v>NONPOSITIVE-MODEL-MARGIN</x:v>
      </x:c>
      <x:c r="J1131" s="136" t="str">
        <x:v>V0.7-CONTROLLED-RESEARCH-SCREEN-NOT-DISTRIBUTION</x:v>
      </x:c>
    </x:row>
    <x:row r="1132" ht="22" customHeight="1">
      <x:c r="A1132" s="137" t="str">
        <x:v>SCR-1127</x:v>
      </x:c>
      <x:c r="B1132" s="142" t="n">
        <x:v>0.0000013666666666666666</x:v>
      </x:c>
      <x:c r="C1132" s="142" t="n">
        <x:v>0.00853846153846154</x:v>
      </x:c>
      <x:c r="D1132" s="160" t="n">
        <x:v>1</x:v>
      </x:c>
      <x:c r="E1132" s="162" t="n">
        <x:v>-2934.709939796529</x:v>
      </x:c>
      <x:c r="F1132" s="162" t="n">
        <x:v>0</x:v>
      </x:c>
      <x:c r="G1132" s="144" t="n">
        <x:v>0.029587370623606037</x:v>
      </x:c>
      <x:c r="H1132" s="144" t="n">
        <x:v>0.5</x:v>
      </x:c>
      <x:c r="I1132" s="137" t="str">
        <x:v>NONPOSITIVE-MODEL-MARGIN</x:v>
      </x:c>
      <x:c r="J1132" s="137" t="str">
        <x:v>V0.7-CONTROLLED-RESEARCH-SCREEN-NOT-DISTRIBUTION</x:v>
      </x:c>
    </x:row>
    <x:row r="1133" ht="22" customHeight="1">
      <x:c r="A1133" s="136" t="str">
        <x:v>SCR-1128</x:v>
      </x:c>
      <x:c r="B1133" s="143" t="n">
        <x:v>0.0000013666666666666666</x:v>
      </x:c>
      <x:c r="C1133" s="143" t="n">
        <x:v>0.008846153846153847</x:v>
      </x:c>
      <x:c r="D1133" s="161" t="n">
        <x:v>1</x:v>
      </x:c>
      <x:c r="E1133" s="163" t="n">
        <x:v>-2952.2477293514294</x:v>
      </x:c>
      <x:c r="F1133" s="163" t="n">
        <x:v>0</x:v>
      </x:c>
      <x:c r="G1133" s="145" t="n">
        <x:v>0.029881885844777127</x:v>
      </x:c>
      <x:c r="H1133" s="145" t="n">
        <x:v>0.5</x:v>
      </x:c>
      <x:c r="I1133" s="136" t="str">
        <x:v>NONPOSITIVE-MODEL-MARGIN</x:v>
      </x:c>
      <x:c r="J1133" s="136" t="str">
        <x:v>V0.7-CONTROLLED-RESEARCH-SCREEN-NOT-DISTRIBUTION</x:v>
      </x:c>
    </x:row>
    <x:row r="1134" ht="22" customHeight="1">
      <x:c r="A1134" s="137" t="str">
        <x:v>SCR-1129</x:v>
      </x:c>
      <x:c r="B1134" s="142" t="n">
        <x:v>0.0000013666666666666666</x:v>
      </x:c>
      <x:c r="C1134" s="142" t="n">
        <x:v>0.009153846153846155</x:v>
      </x:c>
      <x:c r="D1134" s="160" t="n">
        <x:v>1</x:v>
      </x:c>
      <x:c r="E1134" s="162" t="n">
        <x:v>-2969.7380732628167</x:v>
      </x:c>
      <x:c r="F1134" s="162" t="n">
        <x:v>0</x:v>
      </x:c>
      <x:c r="G1134" s="144" t="n">
        <x:v>0.030176401065948218</x:v>
      </x:c>
      <x:c r="H1134" s="144" t="n">
        <x:v>0.5</x:v>
      </x:c>
      <x:c r="I1134" s="137" t="str">
        <x:v>NONPOSITIVE-MODEL-MARGIN</x:v>
      </x:c>
      <x:c r="J1134" s="137" t="str">
        <x:v>V0.7-CONTROLLED-RESEARCH-SCREEN-NOT-DISTRIBUTION</x:v>
      </x:c>
    </x:row>
    <x:row r="1135" ht="22" customHeight="1">
      <x:c r="A1135" s="136" t="str">
        <x:v>SCR-1130</x:v>
      </x:c>
      <x:c r="B1135" s="143" t="n">
        <x:v>0.0000013666666666666666</x:v>
      </x:c>
      <x:c r="C1135" s="143" t="n">
        <x:v>0.009461538461538462</x:v>
      </x:c>
      <x:c r="D1135" s="161" t="n">
        <x:v>1</x:v>
      </x:c>
      <x:c r="E1135" s="163" t="n">
        <x:v>-2987.181333992897</x:v>
      </x:c>
      <x:c r="F1135" s="163" t="n">
        <x:v>0</x:v>
      </x:c>
      <x:c r="G1135" s="145" t="n">
        <x:v>0.03047091628711931</x:v>
      </x:c>
      <x:c r="H1135" s="145" t="n">
        <x:v>0.5</x:v>
      </x:c>
      <x:c r="I1135" s="136" t="str">
        <x:v>NONPOSITIVE-MODEL-MARGIN</x:v>
      </x:c>
      <x:c r="J1135" s="136" t="str">
        <x:v>V0.7-CONTROLLED-RESEARCH-SCREEN-NOT-DISTRIBUTION</x:v>
      </x:c>
    </x:row>
    <x:row r="1136" ht="22" customHeight="1">
      <x:c r="A1136" s="137" t="str">
        <x:v>SCR-1131</x:v>
      </x:c>
      <x:c r="B1136" s="142" t="n">
        <x:v>0.0000013666666666666666</x:v>
      </x:c>
      <x:c r="C1136" s="142" t="n">
        <x:v>0.00976923076923077</x:v>
      </x:c>
      <x:c r="D1136" s="160" t="n">
        <x:v>1</x:v>
      </x:c>
      <x:c r="E1136" s="162" t="n">
        <x:v>-3004.5778685475234</x:v>
      </x:c>
      <x:c r="F1136" s="162" t="n">
        <x:v>0</x:v>
      </x:c>
      <x:c r="G1136" s="144" t="n">
        <x:v>0.030765431508290402</x:v>
      </x:c>
      <x:c r="H1136" s="144" t="n">
        <x:v>0.5</x:v>
      </x:c>
      <x:c r="I1136" s="137" t="str">
        <x:v>NONPOSITIVE-MODEL-MARGIN</x:v>
      </x:c>
      <x:c r="J1136" s="137" t="str">
        <x:v>V0.7-CONTROLLED-RESEARCH-SCREEN-NOT-DISTRIBUTION</x:v>
      </x:c>
    </x:row>
    <x:row r="1137" ht="22" customHeight="1">
      <x:c r="A1137" s="136" t="str">
        <x:v>SCR-1132</x:v>
      </x:c>
      <x:c r="B1137" s="143" t="n">
        <x:v>0.0000013666666666666666</x:v>
      </x:c>
      <x:c r="C1137" s="143" t="n">
        <x:v>0.010076923076923077</x:v>
      </x:c>
      <x:c r="D1137" s="161" t="n">
        <x:v>1</x:v>
      </x:c>
      <x:c r="E1137" s="163" t="n">
        <x:v>-3021.928028588385</x:v>
      </x:c>
      <x:c r="F1137" s="163" t="n">
        <x:v>0</x:v>
      </x:c>
      <x:c r="G1137" s="145" t="n">
        <x:v>0.031059946729461496</x:v>
      </x:c>
      <x:c r="H1137" s="145" t="n">
        <x:v>0.5</x:v>
      </x:c>
      <x:c r="I1137" s="136" t="str">
        <x:v>NONPOSITIVE-MODEL-MARGIN</x:v>
      </x:c>
      <x:c r="J1137" s="136" t="str">
        <x:v>V0.7-CONTROLLED-RESEARCH-SCREEN-NOT-DISTRIBUTION</x:v>
      </x:c>
    </x:row>
    <x:row r="1138" ht="22" customHeight="1">
      <x:c r="A1138" s="137" t="str">
        <x:v>SCR-1133</x:v>
      </x:c>
      <x:c r="B1138" s="142" t="n">
        <x:v>0.0000013666666666666666</x:v>
      </x:c>
      <x:c r="C1138" s="142" t="n">
        <x:v>0.010384615384615384</x:v>
      </x:c>
      <x:c r="D1138" s="160" t="n">
        <x:v>1</x:v>
      </x:c>
      <x:c r="E1138" s="162" t="n">
        <x:v>-3039.2321605426637</x:v>
      </x:c>
      <x:c r="F1138" s="162" t="n">
        <x:v>0</x:v>
      </x:c>
      <x:c r="G1138" s="144" t="n">
        <x:v>0.03135446195063259</x:v>
      </x:c>
      <x:c r="H1138" s="144" t="n">
        <x:v>0.5</x:v>
      </x:c>
      <x:c r="I1138" s="137" t="str">
        <x:v>NONPOSITIVE-MODEL-MARGIN</x:v>
      </x:c>
      <x:c r="J1138" s="137" t="str">
        <x:v>V0.7-CONTROLLED-RESEARCH-SCREEN-NOT-DISTRIBUTION</x:v>
      </x:c>
    </x:row>
    <x:row r="1139" ht="22" customHeight="1">
      <x:c r="A1139" s="136" t="str">
        <x:v>SCR-1134</x:v>
      </x:c>
      <x:c r="B1139" s="143" t="n">
        <x:v>0.0000013666666666666666</x:v>
      </x:c>
      <x:c r="C1139" s="143" t="n">
        <x:v>0.010692307692307692</x:v>
      </x:c>
      <x:c r="D1139" s="161" t="n">
        <x:v>1</x:v>
      </x:c>
      <x:c r="E1139" s="163" t="n">
        <x:v>-3056.4906057101416</x:v>
      </x:c>
      <x:c r="F1139" s="163" t="n">
        <x:v>0</x:v>
      </x:c>
      <x:c r="G1139" s="145" t="n">
        <x:v>0.03164897717180368</x:v>
      </x:c>
      <x:c r="H1139" s="145" t="n">
        <x:v>0.5</x:v>
      </x:c>
      <x:c r="I1139" s="136" t="str">
        <x:v>NONPOSITIVE-MODEL-MARGIN</x:v>
      </x:c>
      <x:c r="J1139" s="136" t="str">
        <x:v>V0.7-CONTROLLED-RESEARCH-SCREEN-NOT-DISTRIBUTION</x:v>
      </x:c>
    </x:row>
    <x:row r="1140" ht="22" customHeight="1">
      <x:c r="A1140" s="137" t="str">
        <x:v>SCR-1135</x:v>
      </x:c>
      <x:c r="B1140" s="142" t="n">
        <x:v>0.0000013666666666666666</x:v>
      </x:c>
      <x:c r="C1140" s="142" t="n">
        <x:v>0.011</x:v>
      </x:c>
      <x:c r="D1140" s="160" t="n">
        <x:v>1</x:v>
      </x:c>
      <x:c r="E1140" s="162" t="n">
        <x:v>-3073.703700367793</x:v>
      </x:c>
      <x:c r="F1140" s="162" t="n">
        <x:v>0</x:v>
      </x:c>
      <x:c r="G1140" s="144" t="n">
        <x:v>0.031943492392974775</x:v>
      </x:c>
      <x:c r="H1140" s="144" t="n">
        <x:v>0.5</x:v>
      </x:c>
      <x:c r="I1140" s="137" t="str">
        <x:v>NONPOSITIVE-MODEL-MARGIN</x:v>
      </x:c>
      <x:c r="J1140" s="137" t="str">
        <x:v>V0.7-CONTROLLED-RESEARCH-SCREEN-NOT-DISTRIBUTION</x:v>
      </x:c>
    </x:row>
    <x:row r="1141" ht="22" customHeight="1">
      <x:c r="A1141" s="136" t="str">
        <x:v>SCR-1136</x:v>
      </x:c>
      <x:c r="B1141" s="143" t="n">
        <x:v>0.0000013666666666666666</x:v>
      </x:c>
      <x:c r="C1141" s="143" t="n">
        <x:v>0.011307692307692307</x:v>
      </x:c>
      <x:c r="D1141" s="161" t="n">
        <x:v>1</x:v>
      </x:c>
      <x:c r="E1141" s="163" t="n">
        <x:v>-3090.871775871913</x:v>
      </x:c>
      <x:c r="F1141" s="163" t="n">
        <x:v>0</x:v>
      </x:c>
      <x:c r="G1141" s="145" t="n">
        <x:v>0.032238007614145865</x:v>
      </x:c>
      <x:c r="H1141" s="145" t="n">
        <x:v>0.5</x:v>
      </x:c>
      <x:c r="I1141" s="136" t="str">
        <x:v>NONPOSITIVE-MODEL-MARGIN</x:v>
      </x:c>
      <x:c r="J1141" s="136" t="str">
        <x:v>V0.7-CONTROLLED-RESEARCH-SCREEN-NOT-DISTRIBUTION</x:v>
      </x:c>
    </x:row>
    <x:row r="1142" ht="22" customHeight="1">
      <x:c r="A1142" s="137" t="str">
        <x:v>SCR-1137</x:v>
      </x:c>
      <x:c r="B1142" s="142" t="n">
        <x:v>0.0000013666666666666666</x:v>
      </x:c>
      <x:c r="C1142" s="142" t="n">
        <x:v>0.011615384615384614</x:v>
      </x:c>
      <x:c r="D1142" s="160" t="n">
        <x:v>1</x:v>
      </x:c>
      <x:c r="E1142" s="162" t="n">
        <x:v>-3107.9951587579103</x:v>
      </x:c>
      <x:c r="F1142" s="162" t="n">
        <x:v>0</x:v>
      </x:c>
      <x:c r="G1142" s="144" t="n">
        <x:v>0.03253252283531695</x:v>
      </x:c>
      <x:c r="H1142" s="144" t="n">
        <x:v>0.5</x:v>
      </x:c>
      <x:c r="I1142" s="137" t="str">
        <x:v>NONPOSITIVE-MODEL-MARGIN</x:v>
      </x:c>
      <x:c r="J1142" s="137" t="str">
        <x:v>V0.7-CONTROLLED-RESEARCH-SCREEN-NOT-DISTRIBUTION</x:v>
      </x:c>
    </x:row>
    <x:row r="1143" ht="22" customHeight="1">
      <x:c r="A1143" s="136" t="str">
        <x:v>SCR-1138</x:v>
      </x:c>
      <x:c r="B1143" s="143" t="n">
        <x:v>0.0000013666666666666666</x:v>
      </x:c>
      <x:c r="C1143" s="143" t="n">
        <x:v>0.011923076923076925</x:v>
      </x:c>
      <x:c r="D1143" s="161" t="n">
        <x:v>1</x:v>
      </x:c>
      <x:c r="E1143" s="163" t="n">
        <x:v>-3125.074170837662</x:v>
      </x:c>
      <x:c r="F1143" s="163" t="n">
        <x:v>0</x:v>
      </x:c>
      <x:c r="G1143" s="145" t="n">
        <x:v>0.03282703805648805</x:v>
      </x:c>
      <x:c r="H1143" s="145" t="n">
        <x:v>0.5</x:v>
      </x:c>
      <x:c r="I1143" s="136" t="str">
        <x:v>NONPOSITIVE-MODEL-MARGIN</x:v>
      </x:c>
      <x:c r="J1143" s="136" t="str">
        <x:v>V0.7-CONTROLLED-RESEARCH-SCREEN-NOT-DISTRIBUTION</x:v>
      </x:c>
    </x:row>
    <x:row r="1144" ht="22" customHeight="1">
      <x:c r="A1144" s="137" t="str">
        <x:v>SCR-1139</x:v>
      </x:c>
      <x:c r="B1144" s="142" t="n">
        <x:v>0.0000013666666666666666</x:v>
      </x:c>
      <x:c r="C1144" s="142" t="n">
        <x:v>0.012230769230769233</x:v>
      </x:c>
      <x:c r="D1144" s="160" t="n">
        <x:v>1</x:v>
      </x:c>
      <x:c r="E1144" s="162" t="n">
        <x:v>-3142.1091292946253</x:v>
      </x:c>
      <x:c r="F1144" s="162" t="n">
        <x:v>0</x:v>
      </x:c>
      <x:c r="G1144" s="144" t="n">
        <x:v>0.033121553277659144</x:v>
      </x:c>
      <x:c r="H1144" s="144" t="n">
        <x:v>0.5</x:v>
      </x:c>
      <x:c r="I1144" s="137" t="str">
        <x:v>NONPOSITIVE-MODEL-MARGIN</x:v>
      </x:c>
      <x:c r="J1144" s="137" t="str">
        <x:v>V0.7-CONTROLLED-RESEARCH-SCREEN-NOT-DISTRIBUTION</x:v>
      </x:c>
    </x:row>
    <x:row r="1145" ht="22" customHeight="1">
      <x:c r="A1145" s="136" t="str">
        <x:v>SCR-1140</x:v>
      </x:c>
      <x:c r="B1145" s="143" t="n">
        <x:v>0.0000013666666666666666</x:v>
      </x:c>
      <x:c r="C1145" s="143" t="n">
        <x:v>0.01253846153846154</x:v>
      </x:c>
      <x:c r="D1145" s="161" t="n">
        <x:v>1</x:v>
      </x:c>
      <x:c r="E1145" s="163" t="n">
        <x:v>-3159.1003467766845</x:v>
      </x:c>
      <x:c r="F1145" s="163" t="n">
        <x:v>0</x:v>
      </x:c>
      <x:c r="G1145" s="145" t="n">
        <x:v>0.033416068498830234</x:v>
      </x:c>
      <x:c r="H1145" s="145" t="n">
        <x:v>0.5</x:v>
      </x:c>
      <x:c r="I1145" s="136" t="str">
        <x:v>NONPOSITIVE-MODEL-MARGIN</x:v>
      </x:c>
      <x:c r="J1145" s="136" t="str">
        <x:v>V0.7-CONTROLLED-RESEARCH-SCREEN-NOT-DISTRIBUTION</x:v>
      </x:c>
    </x:row>
    <x:row r="1146" ht="22" customHeight="1">
      <x:c r="A1146" s="137" t="str">
        <x:v>SCR-1141</x:v>
      </x:c>
      <x:c r="B1146" s="142" t="n">
        <x:v>0.0000013666666666666666</x:v>
      </x:c>
      <x:c r="C1146" s="142" t="n">
        <x:v>0.012846153846153847</x:v>
      </x:c>
      <x:c r="D1146" s="160" t="n">
        <x:v>1</x:v>
      </x:c>
      <x:c r="E1146" s="162" t="n">
        <x:v>-3176.0481314867857</x:v>
      </x:c>
      <x:c r="F1146" s="162" t="n">
        <x:v>0</x:v>
      </x:c>
      <x:c r="G1146" s="144" t="n">
        <x:v>0.03371058372000133</x:v>
      </x:c>
      <x:c r="H1146" s="144" t="n">
        <x:v>0.5</x:v>
      </x:c>
      <x:c r="I1146" s="137" t="str">
        <x:v>NONPOSITIVE-MODEL-MARGIN</x:v>
      </x:c>
      <x:c r="J1146" s="137" t="str">
        <x:v>V0.7-CONTROLLED-RESEARCH-SCREEN-NOT-DISTRIBUTION</x:v>
      </x:c>
    </x:row>
    <x:row r="1147" ht="22" customHeight="1">
      <x:c r="A1147" s="136" t="str">
        <x:v>SCR-1142</x:v>
      </x:c>
      <x:c r="B1147" s="143" t="n">
        <x:v>0.0000013666666666666666</x:v>
      </x:c>
      <x:c r="C1147" s="143" t="n">
        <x:v>0.013153846153846155</x:v>
      </x:c>
      <x:c r="D1147" s="161" t="n">
        <x:v>1</x:v>
      </x:c>
      <x:c r="E1147" s="163" t="n">
        <x:v>-3192.952787271403</x:v>
      </x:c>
      <x:c r="F1147" s="163" t="n">
        <x:v>0</x:v>
      </x:c>
      <x:c r="G1147" s="145" t="n">
        <x:v>0.03400509894117243</x:v>
      </x:c>
      <x:c r="H1147" s="145" t="n">
        <x:v>0.5</x:v>
      </x:c>
      <x:c r="I1147" s="136" t="str">
        <x:v>NONPOSITIVE-MODEL-MARGIN</x:v>
      </x:c>
      <x:c r="J1147" s="136" t="str">
        <x:v>V0.7-CONTROLLED-RESEARCH-SCREEN-NOT-DISTRIBUTION</x:v>
      </x:c>
    </x:row>
    <x:row r="1148" ht="22" customHeight="1">
      <x:c r="A1148" s="137" t="str">
        <x:v>SCR-1143</x:v>
      </x:c>
      <x:c r="B1148" s="142" t="n">
        <x:v>0.0000013666666666666666</x:v>
      </x:c>
      <x:c r="C1148" s="142" t="n">
        <x:v>0.013461538461538462</x:v>
      </x:c>
      <x:c r="D1148" s="160" t="n">
        <x:v>1</x:v>
      </x:c>
      <x:c r="E1148" s="162" t="n">
        <x:v>-3209.814613706932</x:v>
      </x:c>
      <x:c r="F1148" s="162" t="n">
        <x:v>0</x:v>
      </x:c>
      <x:c r="G1148" s="144" t="n">
        <x:v>0.034299614162343506</x:v>
      </x:c>
      <x:c r="H1148" s="144" t="n">
        <x:v>0.5</x:v>
      </x:c>
      <x:c r="I1148" s="137" t="str">
        <x:v>NONPOSITIVE-MODEL-MARGIN</x:v>
      </x:c>
      <x:c r="J1148" s="137" t="str">
        <x:v>V0.7-CONTROLLED-RESEARCH-SCREEN-NOT-DISTRIBUTION</x:v>
      </x:c>
    </x:row>
    <x:row r="1149" ht="22" customHeight="1">
      <x:c r="A1149" s="136" t="str">
        <x:v>SCR-1144</x:v>
      </x:c>
      <x:c r="B1149" s="143" t="n">
        <x:v>0.0000013666666666666666</x:v>
      </x:c>
      <x:c r="C1149" s="143" t="n">
        <x:v>0.01376923076923077</x:v>
      </x:c>
      <x:c r="D1149" s="161" t="n">
        <x:v>1</x:v>
      </x:c>
      <x:c r="E1149" s="163" t="n">
        <x:v>-3226.6339061840363</x:v>
      </x:c>
      <x:c r="F1149" s="163" t="n">
        <x:v>0</x:v>
      </x:c>
      <x:c r="G1149" s="145" t="n">
        <x:v>0.0345941293835146</x:v>
      </x:c>
      <x:c r="H1149" s="145" t="n">
        <x:v>0.5</x:v>
      </x:c>
      <x:c r="I1149" s="136" t="str">
        <x:v>NONPOSITIVE-MODEL-MARGIN</x:v>
      </x:c>
      <x:c r="J1149" s="136" t="str">
        <x:v>V0.7-CONTROLLED-RESEARCH-SCREEN-NOT-DISTRIBUTION</x:v>
      </x:c>
    </x:row>
    <x:row r="1150" ht="22" customHeight="1">
      <x:c r="A1150" s="137" t="str">
        <x:v>SCR-1145</x:v>
      </x:c>
      <x:c r="B1150" s="142" t="n">
        <x:v>0.0000013666666666666666</x:v>
      </x:c>
      <x:c r="C1150" s="142" t="n">
        <x:v>0.014076923076923077</x:v>
      </x:c>
      <x:c r="D1150" s="160" t="n">
        <x:v>1</x:v>
      </x:c>
      <x:c r="E1150" s="162" t="n">
        <x:v>-3243.4109559899284</x:v>
      </x:c>
      <x:c r="F1150" s="162" t="n">
        <x:v>0</x:v>
      </x:c>
      <x:c r="G1150" s="144" t="n">
        <x:v>0.034888644604685694</x:v>
      </x:c>
      <x:c r="H1150" s="144" t="n">
        <x:v>0.5</x:v>
      </x:c>
      <x:c r="I1150" s="137" t="str">
        <x:v>NONPOSITIVE-MODEL-MARGIN</x:v>
      </x:c>
      <x:c r="J1150" s="137" t="str">
        <x:v>V0.7-CONTROLLED-RESEARCH-SCREEN-NOT-DISTRIBUTION</x:v>
      </x:c>
    </x:row>
    <x:row r="1151" ht="22" customHeight="1">
      <x:c r="A1151" s="136" t="str">
        <x:v>SCR-1146</x:v>
      </x:c>
      <x:c r="B1151" s="143" t="n">
        <x:v>0.0000013666666666666666</x:v>
      </x:c>
      <x:c r="C1151" s="143" t="n">
        <x:v>0.014384615384615385</x:v>
      </x:c>
      <x:c r="D1151" s="161" t="n">
        <x:v>1</x:v>
      </x:c>
      <x:c r="E1151" s="163" t="n">
        <x:v>-3260.146050388756</x:v>
      </x:c>
      <x:c r="F1151" s="163" t="n">
        <x:v>0</x:v>
      </x:c>
      <x:c r="G1151" s="145" t="n">
        <x:v>0.03518315982585679</x:v>
      </x:c>
      <x:c r="H1151" s="145" t="n">
        <x:v>0.5</x:v>
      </x:c>
      <x:c r="I1151" s="136" t="str">
        <x:v>NONPOSITIVE-MODEL-MARGIN</x:v>
      </x:c>
      <x:c r="J1151" s="136" t="str">
        <x:v>V0.7-CONTROLLED-RESEARCH-SCREEN-NOT-DISTRIBUTION</x:v>
      </x:c>
    </x:row>
    <x:row r="1152" ht="22" customHeight="1">
      <x:c r="A1152" s="137" t="str">
        <x:v>SCR-1147</x:v>
      </x:c>
      <x:c r="B1152" s="142" t="n">
        <x:v>0.0000013666666666666666</x:v>
      </x:c>
      <x:c r="C1152" s="142" t="n">
        <x:v>0.014692307692307692</x:v>
      </x:c>
      <x:c r="D1152" s="160" t="n">
        <x:v>1</x:v>
      </x:c>
      <x:c r="E1152" s="162" t="n">
        <x:v>-3276.8394727000696</x:v>
      </x:c>
      <x:c r="F1152" s="162" t="n">
        <x:v>0</x:v>
      </x:c>
      <x:c r="G1152" s="144" t="n">
        <x:v>0.03547767504702788</x:v>
      </x:c>
      <x:c r="H1152" s="144" t="n">
        <x:v>0.5</x:v>
      </x:c>
      <x:c r="I1152" s="137" t="str">
        <x:v>NONPOSITIVE-MODEL-MARGIN</x:v>
      </x:c>
      <x:c r="J1152" s="137" t="str">
        <x:v>V0.7-CONTROLLED-RESEARCH-SCREEN-NOT-DISTRIBUTION</x:v>
      </x:c>
    </x:row>
    <x:row r="1153" ht="22" customHeight="1">
      <x:c r="A1153" s="136" t="str">
        <x:v>SCR-1148</x:v>
      </x:c>
      <x:c r="B1153" s="143" t="n">
        <x:v>0.0000013666666666666666</x:v>
      </x:c>
      <x:c r="C1153" s="143" t="n">
        <x:v>0.015</x:v>
      </x:c>
      <x:c r="D1153" s="161" t="n">
        <x:v>1</x:v>
      </x:c>
      <x:c r="E1153" s="163" t="n">
        <x:v>-3293.4915023753947</x:v>
      </x:c>
      <x:c r="F1153" s="163" t="n">
        <x:v>0</x:v>
      </x:c>
      <x:c r="G1153" s="145" t="n">
        <x:v>0.035772190268198965</x:v>
      </x:c>
      <x:c r="H1153" s="145" t="n">
        <x:v>0.5</x:v>
      </x:c>
      <x:c r="I1153" s="136" t="str">
        <x:v>NONPOSITIVE-MODEL-MARGIN</x:v>
      </x:c>
      <x:c r="J1153" s="136" t="str">
        <x:v>V0.7-CONTROLLED-RESEARCH-SCREEN-NOT-DISTRIBUTION</x:v>
      </x:c>
    </x:row>
    <x:row r="1154" ht="22" customHeight="1">
      <x:c r="A1154" s="137" t="str">
        <x:v>SCR-1149</x:v>
      </x:c>
      <x:c r="B1154" s="142" t="n">
        <x:v>0.0000014153846153846155</x:v>
      </x:c>
      <x:c r="C1154" s="142" t="n">
        <x:v>0.003</x:v>
      </x:c>
      <x:c r="D1154" s="160" t="n">
        <x:v>1</x:v>
      </x:c>
      <x:c r="E1154" s="162" t="n">
        <x:v>-2653.626171169654</x:v>
      </x:c>
      <x:c r="F1154" s="162" t="n">
        <x:v>0</x:v>
      </x:c>
      <x:c r="G1154" s="144" t="n">
        <x:v>0.024995085537230528</x:v>
      </x:c>
      <x:c r="H1154" s="144" t="n">
        <x:v>0.5</x:v>
      </x:c>
      <x:c r="I1154" s="137" t="str">
        <x:v>NONPOSITIVE-MODEL-MARGIN</x:v>
      </x:c>
      <x:c r="J1154" s="137" t="str">
        <x:v>V0.7-CONTROLLED-RESEARCH-SCREEN-NOT-DISTRIBUTION</x:v>
      </x:c>
    </x:row>
    <x:row r="1155" ht="22" customHeight="1">
      <x:c r="A1155" s="136" t="str">
        <x:v>SCR-1150</x:v>
      </x:c>
      <x:c r="B1155" s="143" t="n">
        <x:v>0.0000014153846153846155</x:v>
      </x:c>
      <x:c r="C1155" s="143" t="n">
        <x:v>0.003307692307692308</x:v>
      </x:c>
      <x:c r="D1155" s="161" t="n">
        <x:v>1</x:v>
      </x:c>
      <x:c r="E1155" s="163" t="n">
        <x:v>-2671.97107205416</x:v>
      </x:c>
      <x:c r="F1155" s="163" t="n">
        <x:v>0</x:v>
      </x:c>
      <x:c r="G1155" s="145" t="n">
        <x:v>0.025289161851556136</x:v>
      </x:c>
      <x:c r="H1155" s="145" t="n">
        <x:v>0.5</x:v>
      </x:c>
      <x:c r="I1155" s="136" t="str">
        <x:v>NONPOSITIVE-MODEL-MARGIN</x:v>
      </x:c>
      <x:c r="J1155" s="136" t="str">
        <x:v>V0.7-CONTROLLED-RESEARCH-SCREEN-NOT-DISTRIBUTION</x:v>
      </x:c>
    </x:row>
    <x:row r="1156" ht="22" customHeight="1">
      <x:c r="A1156" s="137" t="str">
        <x:v>SCR-1151</x:v>
      </x:c>
      <x:c r="B1156" s="142" t="n">
        <x:v>0.0000014153846153846155</x:v>
      </x:c>
      <x:c r="C1156" s="142" t="n">
        <x:v>0.0036153846153846154</x:v>
      </x:c>
      <x:c r="D1156" s="160" t="n">
        <x:v>1</x:v>
      </x:c>
      <x:c r="E1156" s="162" t="n">
        <x:v>-2690.2619766187668</x:v>
      </x:c>
      <x:c r="F1156" s="162" t="n">
        <x:v>0</x:v>
      </x:c>
      <x:c r="G1156" s="144" t="n">
        <x:v>0.025583238165881733</x:v>
      </x:c>
      <x:c r="H1156" s="144" t="n">
        <x:v>0.5</x:v>
      </x:c>
      <x:c r="I1156" s="137" t="str">
        <x:v>NONPOSITIVE-MODEL-MARGIN</x:v>
      </x:c>
      <x:c r="J1156" s="137" t="str">
        <x:v>V0.7-CONTROLLED-RESEARCH-SCREEN-NOT-DISTRIBUTION</x:v>
      </x:c>
    </x:row>
    <x:row r="1157" ht="22" customHeight="1">
      <x:c r="A1157" s="136" t="str">
        <x:v>SCR-1152</x:v>
      </x:c>
      <x:c r="B1157" s="143" t="n">
        <x:v>0.0000014153846153846155</x:v>
      </x:c>
      <x:c r="C1157" s="143" t="n">
        <x:v>0.003923076923076923</x:v>
      </x:c>
      <x:c r="D1157" s="161" t="n">
        <x:v>1</x:v>
      </x:c>
      <x:c r="E1157" s="163" t="n">
        <x:v>-2708.4993516904437</x:v>
      </x:c>
      <x:c r="F1157" s="163" t="n">
        <x:v>0</x:v>
      </x:c>
      <x:c r="G1157" s="145" t="n">
        <x:v>0.025877314480207334</x:v>
      </x:c>
      <x:c r="H1157" s="145" t="n">
        <x:v>0.5</x:v>
      </x:c>
      <x:c r="I1157" s="136" t="str">
        <x:v>NONPOSITIVE-MODEL-MARGIN</x:v>
      </x:c>
      <x:c r="J1157" s="136" t="str">
        <x:v>V0.7-CONTROLLED-RESEARCH-SCREEN-NOT-DISTRIBUTION</x:v>
      </x:c>
    </x:row>
    <x:row r="1158" ht="22" customHeight="1">
      <x:c r="A1158" s="137" t="str">
        <x:v>SCR-1153</x:v>
      </x:c>
      <x:c r="B1158" s="142" t="n">
        <x:v>0.0000014153846153846155</x:v>
      </x:c>
      <x:c r="C1158" s="142" t="n">
        <x:v>0.004230769230769231</x:v>
      </x:c>
      <x:c r="D1158" s="160" t="n">
        <x:v>1</x:v>
      </x:c>
      <x:c r="E1158" s="162" t="n">
        <x:v>-2726.6836564330238</x:v>
      </x:c>
      <x:c r="F1158" s="162" t="n">
        <x:v>0</x:v>
      </x:c>
      <x:c r="G1158" s="144" t="n">
        <x:v>0.026171390794532932</x:v>
      </x:c>
      <x:c r="H1158" s="144" t="n">
        <x:v>0.5</x:v>
      </x:c>
      <x:c r="I1158" s="137" t="str">
        <x:v>NONPOSITIVE-MODEL-MARGIN</x:v>
      </x:c>
      <x:c r="J1158" s="137" t="str">
        <x:v>V0.7-CONTROLLED-RESEARCH-SCREEN-NOT-DISTRIBUTION</x:v>
      </x:c>
    </x:row>
    <x:row r="1159" ht="22" customHeight="1">
      <x:c r="A1159" s="136" t="str">
        <x:v>SCR-1154</x:v>
      </x:c>
      <x:c r="B1159" s="143" t="n">
        <x:v>0.0000014153846153846155</x:v>
      </x:c>
      <x:c r="C1159" s="143" t="n">
        <x:v>0.004538461538461538</x:v>
      </x:c>
      <x:c r="D1159" s="161" t="n">
        <x:v>1</x:v>
      </x:c>
      <x:c r="E1159" s="163" t="n">
        <x:v>-2744.815342506735</x:v>
      </x:c>
      <x:c r="F1159" s="163" t="n">
        <x:v>0</x:v>
      </x:c>
      <x:c r="G1159" s="145" t="n">
        <x:v>0.026465467108858536</x:v>
      </x:c>
      <x:c r="H1159" s="145" t="n">
        <x:v>0.5</x:v>
      </x:c>
      <x:c r="I1159" s="136" t="str">
        <x:v>NONPOSITIVE-MODEL-MARGIN</x:v>
      </x:c>
      <x:c r="J1159" s="136" t="str">
        <x:v>V0.7-CONTROLLED-RESEARCH-SCREEN-NOT-DISTRIBUTION</x:v>
      </x:c>
    </x:row>
    <x:row r="1160" ht="22" customHeight="1">
      <x:c r="A1160" s="137" t="str">
        <x:v>SCR-1155</x:v>
      </x:c>
      <x:c r="B1160" s="142" t="n">
        <x:v>0.0000014153846153846155</x:v>
      </x:c>
      <x:c r="C1160" s="142" t="n">
        <x:v>0.004846153846153846</x:v>
      </x:c>
      <x:c r="D1160" s="160" t="n">
        <x:v>1</x:v>
      </x:c>
      <x:c r="E1160" s="162" t="n">
        <x:v>-2762.8948542250673</x:v>
      </x:c>
      <x:c r="F1160" s="162" t="n">
        <x:v>0</x:v>
      </x:c>
      <x:c r="G1160" s="144" t="n">
        <x:v>0.026759543423184127</x:v>
      </x:c>
      <x:c r="H1160" s="144" t="n">
        <x:v>0.5</x:v>
      </x:c>
      <x:c r="I1160" s="137" t="str">
        <x:v>NONPOSITIVE-MODEL-MARGIN</x:v>
      </x:c>
      <x:c r="J1160" s="137" t="str">
        <x:v>V0.7-CONTROLLED-RESEARCH-SCREEN-NOT-DISTRIBUTION</x:v>
      </x:c>
    </x:row>
    <x:row r="1161" ht="22" customHeight="1">
      <x:c r="A1161" s="136" t="str">
        <x:v>SCR-1156</x:v>
      </x:c>
      <x:c r="B1161" s="143" t="n">
        <x:v>0.0000014153846153846155</x:v>
      </x:c>
      <x:c r="C1161" s="143" t="n">
        <x:v>0.005</x:v>
      </x:c>
      <x:c r="D1161" s="161" t="n">
        <x:v>1</x:v>
      </x:c>
      <x:c r="E1161" s="163" t="n">
        <x:v>-2771.915181578001</x:v>
      </x:c>
      <x:c r="F1161" s="163" t="n">
        <x:v>0</x:v>
      </x:c>
      <x:c r="G1161" s="145" t="n">
        <x:v>0.026906581580346933</x:v>
      </x:c>
      <x:c r="H1161" s="145" t="n">
        <x:v>0.5</x:v>
      </x:c>
      <x:c r="I1161" s="136" t="str">
        <x:v>NONPOSITIVE-MODEL-MARGIN</x:v>
      </x:c>
      <x:c r="J1161" s="136" t="str">
        <x:v>V0.7-CONTROLLED-RESEARCH-SCREEN-NOT-DISTRIBUTION</x:v>
      </x:c>
    </x:row>
    <x:row r="1162" ht="22" customHeight="1">
      <x:c r="A1162" s="137" t="str">
        <x:v>SCR-1157</x:v>
      </x:c>
      <x:c r="B1162" s="142" t="n">
        <x:v>0.0000014153846153846155</x:v>
      </x:c>
      <x:c r="C1162" s="142" t="n">
        <x:v>0.005153846153846154</x:v>
      </x:c>
      <x:c r="D1162" s="160" t="n">
        <x:v>1</x:v>
      </x:c>
      <x:c r="E1162" s="162" t="n">
        <x:v>-2780.9226287087213</x:v>
      </x:c>
      <x:c r="F1162" s="162" t="n">
        <x:v>0</x:v>
      </x:c>
      <x:c r="G1162" s="144" t="n">
        <x:v>0.027053619737509735</x:v>
      </x:c>
      <x:c r="H1162" s="144" t="n">
        <x:v>0.5</x:v>
      </x:c>
      <x:c r="I1162" s="137" t="str">
        <x:v>NONPOSITIVE-MODEL-MARGIN</x:v>
      </x:c>
      <x:c r="J1162" s="137" t="str">
        <x:v>V0.7-CONTROLLED-RESEARCH-SCREEN-NOT-DISTRIBUTION</x:v>
      </x:c>
    </x:row>
    <x:row r="1163" ht="22" customHeight="1">
      <x:c r="A1163" s="136" t="str">
        <x:v>SCR-1158</x:v>
      </x:c>
      <x:c r="B1163" s="143" t="n">
        <x:v>0.0000014153846153846155</x:v>
      </x:c>
      <x:c r="C1163" s="143" t="n">
        <x:v>0.005461538461538462</x:v>
      </x:c>
      <x:c r="D1163" s="161" t="n">
        <x:v>1</x:v>
      </x:c>
      <x:c r="E1163" s="163" t="n">
        <x:v>-2798.8990960367296</x:v>
      </x:c>
      <x:c r="F1163" s="163" t="n">
        <x:v>0</x:v>
      </x:c>
      <x:c r="G1163" s="145" t="n">
        <x:v>0.027347696051835332</x:v>
      </x:c>
      <x:c r="H1163" s="145" t="n">
        <x:v>0.5</x:v>
      </x:c>
      <x:c r="I1163" s="136" t="str">
        <x:v>NONPOSITIVE-MODEL-MARGIN</x:v>
      </x:c>
      <x:c r="J1163" s="136" t="str">
        <x:v>V0.7-CONTROLLED-RESEARCH-SCREEN-NOT-DISTRIBUTION</x:v>
      </x:c>
    </x:row>
    <x:row r="1164" ht="22" customHeight="1">
      <x:c r="A1164" s="137" t="str">
        <x:v>SCR-1159</x:v>
      </x:c>
      <x:c r="B1164" s="142" t="n">
        <x:v>0.0000014153846153846155</x:v>
      </x:c>
      <x:c r="C1164" s="142" t="n">
        <x:v>0.0057692307692307696</x:v>
      </x:c>
      <x:c r="D1164" s="160" t="n">
        <x:v>1</x:v>
      </x:c>
      <x:c r="E1164" s="162" t="n">
        <x:v>-2820.385075558003</x:v>
      </x:c>
      <x:c r="F1164" s="162" t="n">
        <x:v>0</x:v>
      </x:c>
      <x:c r="G1164" s="144" t="n">
        <x:v>0.02764177236616093</x:v>
      </x:c>
      <x:c r="H1164" s="144" t="n">
        <x:v>0.5</x:v>
      </x:c>
      <x:c r="I1164" s="137" t="str">
        <x:v>NONPOSITIVE-MODEL-MARGIN</x:v>
      </x:c>
      <x:c r="J1164" s="137" t="str">
        <x:v>V0.7-CONTROLLED-RESEARCH-SCREEN-NOT-DISTRIBUTION</x:v>
      </x:c>
    </x:row>
    <x:row r="1165" ht="22" customHeight="1">
      <x:c r="A1165" s="136" t="str">
        <x:v>SCR-1160</x:v>
      </x:c>
      <x:c r="B1165" s="143" t="n">
        <x:v>0.0000014153846153846155</x:v>
      </x:c>
      <x:c r="C1165" s="143" t="n">
        <x:v>0.006076923076923077</x:v>
      </x:c>
      <x:c r="D1165" s="161" t="n">
        <x:v>1</x:v>
      </x:c>
      <x:c r="E1165" s="163" t="n">
        <x:v>-2838.2493062579074</x:v>
      </x:c>
      <x:c r="F1165" s="163" t="n">
        <x:v>0</x:v>
      </x:c>
      <x:c r="G1165" s="145" t="n">
        <x:v>0.027935848680486538</x:v>
      </x:c>
      <x:c r="H1165" s="145" t="n">
        <x:v>0.5</x:v>
      </x:c>
      <x:c r="I1165" s="136" t="str">
        <x:v>NONPOSITIVE-MODEL-MARGIN</x:v>
      </x:c>
      <x:c r="J1165" s="136" t="str">
        <x:v>V0.7-CONTROLLED-RESEARCH-SCREEN-NOT-DISTRIBUTION</x:v>
      </x:c>
    </x:row>
    <x:row r="1166" ht="22" customHeight="1">
      <x:c r="A1166" s="137" t="str">
        <x:v>SCR-1161</x:v>
      </x:c>
      <x:c r="B1166" s="142" t="n">
        <x:v>0.0000014153846153846155</x:v>
      </x:c>
      <x:c r="C1166" s="142" t="n">
        <x:v>0.006384615384615384</x:v>
      </x:c>
      <x:c r="D1166" s="160" t="n">
        <x:v>1</x:v>
      </x:c>
      <x:c r="E1166" s="162" t="n">
        <x:v>-2856.0635899846748</x:v>
      </x:c>
      <x:c r="F1166" s="162" t="n">
        <x:v>0</x:v>
      </x:c>
      <x:c r="G1166" s="144" t="n">
        <x:v>0.028229924994812132</x:v>
      </x:c>
      <x:c r="H1166" s="144" t="n">
        <x:v>0.5</x:v>
      </x:c>
      <x:c r="I1166" s="137" t="str">
        <x:v>NONPOSITIVE-MODEL-MARGIN</x:v>
      </x:c>
      <x:c r="J1166" s="137" t="str">
        <x:v>V0.7-CONTROLLED-RESEARCH-SCREEN-NOT-DISTRIBUTION</x:v>
      </x:c>
    </x:row>
    <x:row r="1167" ht="22" customHeight="1">
      <x:c r="A1167" s="136" t="str">
        <x:v>SCR-1162</x:v>
      </x:c>
      <x:c r="B1167" s="143" t="n">
        <x:v>0.0000014153846153846155</x:v>
      </x:c>
      <x:c r="C1167" s="143" t="n">
        <x:v>0.006692307692307693</x:v>
      </x:c>
      <x:c r="D1167" s="161" t="n">
        <x:v>1</x:v>
      </x:c>
      <x:c r="E1167" s="163" t="n">
        <x:v>-2873.8283278050976</x:v>
      </x:c>
      <x:c r="F1167" s="163" t="n">
        <x:v>0</x:v>
      </x:c>
      <x:c r="G1167" s="145" t="n">
        <x:v>0.028524001309137733</x:v>
      </x:c>
      <x:c r="H1167" s="145" t="n">
        <x:v>0.5</x:v>
      </x:c>
      <x:c r="I1167" s="136" t="str">
        <x:v>NONPOSITIVE-MODEL-MARGIN</x:v>
      </x:c>
      <x:c r="J1167" s="136" t="str">
        <x:v>V0.7-CONTROLLED-RESEARCH-SCREEN-NOT-DISTRIBUTION</x:v>
      </x:c>
    </x:row>
    <x:row r="1168" ht="22" customHeight="1">
      <x:c r="A1168" s="137" t="str">
        <x:v>SCR-1163</x:v>
      </x:c>
      <x:c r="B1168" s="142" t="n">
        <x:v>0.0000014153846153846155</x:v>
      </x:c>
      <x:c r="C1168" s="142" t="n">
        <x:v>0.007</x:v>
      </x:c>
      <x:c r="D1168" s="160" t="n">
        <x:v>1</x:v>
      </x:c>
      <x:c r="E1168" s="162" t="n">
        <x:v>-2891.543914525787</x:v>
      </x:c>
      <x:c r="F1168" s="162" t="n">
        <x:v>0</x:v>
      </x:c>
      <x:c r="G1168" s="144" t="n">
        <x:v>0.028818077623463334</x:v>
      </x:c>
      <x:c r="H1168" s="144" t="n">
        <x:v>0.5</x:v>
      </x:c>
      <x:c r="I1168" s="137" t="str">
        <x:v>NONPOSITIVE-MODEL-MARGIN</x:v>
      </x:c>
      <x:c r="J1168" s="137" t="str">
        <x:v>V0.7-CONTROLLED-RESEARCH-SCREEN-NOT-DISTRIBUTION</x:v>
      </x:c>
    </x:row>
    <x:row r="1169" ht="22" customHeight="1">
      <x:c r="A1169" s="136" t="str">
        <x:v>SCR-1164</x:v>
      </x:c>
      <x:c r="B1169" s="143" t="n">
        <x:v>0.0000014153846153846155</x:v>
      </x:c>
      <x:c r="C1169" s="143" t="n">
        <x:v>0.007307692307692308</x:v>
      </x:c>
      <x:c r="D1169" s="161" t="n">
        <x:v>1</x:v>
      </x:c>
      <x:c r="E1169" s="163" t="n">
        <x:v>-2909.2107388235013</x:v>
      </x:c>
      <x:c r="F1169" s="163" t="n">
        <x:v>0</x:v>
      </x:c>
      <x:c r="G1169" s="145" t="n">
        <x:v>0.02911215393778893</x:v>
      </x:c>
      <x:c r="H1169" s="145" t="n">
        <x:v>0.5</x:v>
      </x:c>
      <x:c r="I1169" s="136" t="str">
        <x:v>NONPOSITIVE-MODEL-MARGIN</x:v>
      </x:c>
      <x:c r="J1169" s="136" t="str">
        <x:v>V0.7-CONTROLLED-RESEARCH-SCREEN-NOT-DISTRIBUTION</x:v>
      </x:c>
    </x:row>
    <x:row r="1170" ht="22" customHeight="1">
      <x:c r="A1170" s="137" t="str">
        <x:v>SCR-1165</x:v>
      </x:c>
      <x:c r="B1170" s="142" t="n">
        <x:v>0.0000014153846153846155</x:v>
      </x:c>
      <x:c r="C1170" s="142" t="n">
        <x:v>0.007615384615384616</x:v>
      </x:c>
      <x:c r="D1170" s="160" t="n">
        <x:v>1</x:v>
      </x:c>
      <x:c r="E1170" s="162" t="n">
        <x:v>-2926.829183372654</x:v>
      </x:c>
      <x:c r="F1170" s="162" t="n">
        <x:v>0</x:v>
      </x:c>
      <x:c r="G1170" s="144" t="n">
        <x:v>0.029406230252114533</x:v>
      </x:c>
      <x:c r="H1170" s="144" t="n">
        <x:v>0.5</x:v>
      </x:c>
      <x:c r="I1170" s="137" t="str">
        <x:v>NONPOSITIVE-MODEL-MARGIN</x:v>
      </x:c>
      <x:c r="J1170" s="137" t="str">
        <x:v>V0.7-CONTROLLED-RESEARCH-SCREEN-NOT-DISTRIBUTION</x:v>
      </x:c>
    </x:row>
    <x:row r="1171" ht="22" customHeight="1">
      <x:c r="A1171" s="136" t="str">
        <x:v>SCR-1166</x:v>
      </x:c>
      <x:c r="B1171" s="143" t="n">
        <x:v>0.0000014153846153846155</x:v>
      </x:c>
      <x:c r="C1171" s="143" t="n">
        <x:v>0.007923076923076923</x:v>
      </x:c>
      <x:c r="D1171" s="161" t="n">
        <x:v>1</x:v>
      </x:c>
      <x:c r="E1171" s="163" t="n">
        <x:v>-2944.3996249700162</x:v>
      </x:c>
      <x:c r="F1171" s="163" t="n">
        <x:v>0</x:v>
      </x:c>
      <x:c r="G1171" s="145" t="n">
        <x:v>0.029700306566440137</x:v>
      </x:c>
      <x:c r="H1171" s="145" t="n">
        <x:v>0.5</x:v>
      </x:c>
      <x:c r="I1171" s="136" t="str">
        <x:v>NONPOSITIVE-MODEL-MARGIN</x:v>
      </x:c>
      <x:c r="J1171" s="136" t="str">
        <x:v>V0.7-CONTROLLED-RESEARCH-SCREEN-NOT-DISTRIBUTION</x:v>
      </x:c>
    </x:row>
    <x:row r="1172" ht="22" customHeight="1">
      <x:c r="A1172" s="137" t="str">
        <x:v>SCR-1167</x:v>
      </x:c>
      <x:c r="B1172" s="142" t="n">
        <x:v>0.0000014153846153846155</x:v>
      </x:c>
      <x:c r="C1172" s="142" t="n">
        <x:v>0.00823076923076923</x:v>
      </x:c>
      <x:c r="D1172" s="160" t="n">
        <x:v>1</x:v>
      </x:c>
      <x:c r="E1172" s="162" t="n">
        <x:v>-2961.922434656701</x:v>
      </x:c>
      <x:c r="F1172" s="162" t="n">
        <x:v>0</x:v>
      </x:c>
      <x:c r="G1172" s="144" t="n">
        <x:v>0.029994382880765735</x:v>
      </x:c>
      <x:c r="H1172" s="144" t="n">
        <x:v>0.5</x:v>
      </x:c>
      <x:c r="I1172" s="137" t="str">
        <x:v>NONPOSITIVE-MODEL-MARGIN</x:v>
      </x:c>
      <x:c r="J1172" s="137" t="str">
        <x:v>V0.7-CONTROLLED-RESEARCH-SCREEN-NOT-DISTRIBUTION</x:v>
      </x:c>
    </x:row>
    <x:row r="1173" ht="22" customHeight="1">
      <x:c r="A1173" s="136" t="str">
        <x:v>SCR-1168</x:v>
      </x:c>
      <x:c r="B1173" s="143" t="n">
        <x:v>0.0000014153846153846155</x:v>
      </x:c>
      <x:c r="C1173" s="143" t="n">
        <x:v>0.00853846153846154</x:v>
      </x:c>
      <x:c r="D1173" s="161" t="n">
        <x:v>1</x:v>
      </x:c>
      <x:c r="E1173" s="163" t="n">
        <x:v>-2979.3979778373373</x:v>
      </x:c>
      <x:c r="F1173" s="163" t="n">
        <x:v>0</x:v>
      </x:c>
      <x:c r="G1173" s="145" t="n">
        <x:v>0.030288459195091343</x:v>
      </x:c>
      <x:c r="H1173" s="145" t="n">
        <x:v>0.5</x:v>
      </x:c>
      <x:c r="I1173" s="136" t="str">
        <x:v>NONPOSITIVE-MODEL-MARGIN</x:v>
      </x:c>
      <x:c r="J1173" s="136" t="str">
        <x:v>V0.7-CONTROLLED-RESEARCH-SCREEN-NOT-DISTRIBUTION</x:v>
      </x:c>
    </x:row>
    <x:row r="1174" ht="22" customHeight="1">
      <x:c r="A1174" s="137" t="str">
        <x:v>SCR-1169</x:v>
      </x:c>
      <x:c r="B1174" s="142" t="n">
        <x:v>0.0000014153846153846155</x:v>
      </x:c>
      <x:c r="C1174" s="142" t="n">
        <x:v>0.008846153846153847</x:v>
      </x:c>
      <x:c r="D1174" s="160" t="n">
        <x:v>1</x:v>
      </x:c>
      <x:c r="E1174" s="162" t="n">
        <x:v>-2996.8266143966143</x:v>
      </x:c>
      <x:c r="F1174" s="162" t="n">
        <x:v>0</x:v>
      </x:c>
      <x:c r="G1174" s="144" t="n">
        <x:v>0.03058253550941694</x:v>
      </x:c>
      <x:c r="H1174" s="144" t="n">
        <x:v>0.5</x:v>
      </x:c>
      <x:c r="I1174" s="137" t="str">
        <x:v>NONPOSITIVE-MODEL-MARGIN</x:v>
      </x:c>
      <x:c r="J1174" s="137" t="str">
        <x:v>V0.7-CONTROLLED-RESEARCH-SCREEN-NOT-DISTRIBUTION</x:v>
      </x:c>
    </x:row>
    <x:row r="1175" ht="22" customHeight="1">
      <x:c r="A1175" s="136" t="str">
        <x:v>SCR-1170</x:v>
      </x:c>
      <x:c r="B1175" s="143" t="n">
        <x:v>0.0000014153846153846155</x:v>
      </x:c>
      <x:c r="C1175" s="143" t="n">
        <x:v>0.009153846153846155</x:v>
      </x:c>
      <x:c r="D1175" s="161" t="n">
        <x:v>1</x:v>
      </x:c>
      <x:c r="E1175" s="163" t="n">
        <x:v>-3014.20869881309</x:v>
      </x:c>
      <x:c r="F1175" s="163" t="n">
        <x:v>0</x:v>
      </x:c>
      <x:c r="G1175" s="145" t="n">
        <x:v>0.030876611823742548</x:v>
      </x:c>
      <x:c r="H1175" s="145" t="n">
        <x:v>0.5</x:v>
      </x:c>
      <x:c r="I1175" s="136" t="str">
        <x:v>NONPOSITIVE-MODEL-MARGIN</x:v>
      </x:c>
      <x:c r="J1175" s="136" t="str">
        <x:v>V0.7-CONTROLLED-RESEARCH-SCREEN-NOT-DISTRIBUTION</x:v>
      </x:c>
    </x:row>
    <x:row r="1176" ht="22" customHeight="1">
      <x:c r="A1176" s="137" t="str">
        <x:v>SCR-1171</x:v>
      </x:c>
      <x:c r="B1176" s="142" t="n">
        <x:v>0.0000014153846153846155</x:v>
      </x:c>
      <x:c r="C1176" s="142" t="n">
        <x:v>0.009461538461538462</x:v>
      </x:c>
      <x:c r="D1176" s="160" t="n">
        <x:v>1</x:v>
      </x:c>
      <x:c r="E1176" s="162" t="n">
        <x:v>-3031.5445802704394</x:v>
      </x:c>
      <x:c r="F1176" s="162" t="n">
        <x:v>0</x:v>
      </x:c>
      <x:c r="G1176" s="144" t="n">
        <x:v>0.03117068813806814</x:v>
      </x:c>
      <x:c r="H1176" s="144" t="n">
        <x:v>0.5</x:v>
      </x:c>
      <x:c r="I1176" s="137" t="str">
        <x:v>NONPOSITIVE-MODEL-MARGIN</x:v>
      </x:c>
      <x:c r="J1176" s="137" t="str">
        <x:v>V0.7-CONTROLLED-RESEARCH-SCREEN-NOT-DISTRIBUTION</x:v>
      </x:c>
    </x:row>
    <x:row r="1177" ht="22" customHeight="1">
      <x:c r="A1177" s="136" t="str">
        <x:v>SCR-1172</x:v>
      </x:c>
      <x:c r="B1177" s="143" t="n">
        <x:v>0.0000014153846153846155</x:v>
      </x:c>
      <x:c r="C1177" s="143" t="n">
        <x:v>0.00976923076923077</x:v>
      </x:c>
      <x:c r="D1177" s="161" t="n">
        <x:v>1</x:v>
      </x:c>
      <x:c r="E1177" s="163" t="n">
        <x:v>-3048.834602766067</x:v>
      </x:c>
      <x:c r="F1177" s="163" t="n">
        <x:v>0</x:v>
      </x:c>
      <x:c r="G1177" s="145" t="n">
        <x:v>0.03146476445239374</x:v>
      </x:c>
      <x:c r="H1177" s="145" t="n">
        <x:v>0.5</x:v>
      </x:c>
      <x:c r="I1177" s="136" t="str">
        <x:v>NONPOSITIVE-MODEL-MARGIN</x:v>
      </x:c>
      <x:c r="J1177" s="136" t="str">
        <x:v>V0.7-CONTROLLED-RESEARCH-SCREEN-NOT-DISTRIBUTION</x:v>
      </x:c>
    </x:row>
    <x:row r="1178" ht="22" customHeight="1">
      <x:c r="A1178" s="137" t="str">
        <x:v>SCR-1173</x:v>
      </x:c>
      <x:c r="B1178" s="142" t="n">
        <x:v>0.0000014153846153846155</x:v>
      </x:c>
      <x:c r="C1178" s="142" t="n">
        <x:v>0.010076923076923077</x:v>
      </x:c>
      <x:c r="D1178" s="160" t="n">
        <x:v>1</x:v>
      </x:c>
      <x:c r="E1178" s="162" t="n">
        <x:v>-3066.0791052172103</x:v>
      </x:c>
      <x:c r="F1178" s="162" t="n">
        <x:v>0</x:v>
      </x:c>
      <x:c r="G1178" s="144" t="n">
        <x:v>0.03175884076671934</x:v>
      </x:c>
      <x:c r="H1178" s="144" t="n">
        <x:v>0.5</x:v>
      </x:c>
      <x:c r="I1178" s="137" t="str">
        <x:v>NONPOSITIVE-MODEL-MARGIN</x:v>
      </x:c>
      <x:c r="J1178" s="137" t="str">
        <x:v>V0.7-CONTROLLED-RESEARCH-SCREEN-NOT-DISTRIBUTION</x:v>
      </x:c>
    </x:row>
    <x:row r="1179" ht="22" customHeight="1">
      <x:c r="A1179" s="136" t="str">
        <x:v>SCR-1174</x:v>
      </x:c>
      <x:c r="B1179" s="143" t="n">
        <x:v>0.0000014153846153846155</x:v>
      </x:c>
      <x:c r="C1179" s="143" t="n">
        <x:v>0.010384615384615384</x:v>
      </x:c>
      <x:c r="D1179" s="161" t="n">
        <x:v>1</x:v>
      </x:c>
      <x:c r="E1179" s="163" t="n">
        <x:v>-3083.278421564592</x:v>
      </x:c>
      <x:c r="F1179" s="163" t="n">
        <x:v>0</x:v>
      </x:c>
      <x:c r="G1179" s="145" t="n">
        <x:v>0.032052917081044935</x:v>
      </x:c>
      <x:c r="H1179" s="145" t="n">
        <x:v>0.5</x:v>
      </x:c>
      <x:c r="I1179" s="136" t="str">
        <x:v>NONPOSITIVE-MODEL-MARGIN</x:v>
      </x:c>
      <x:c r="J1179" s="136" t="str">
        <x:v>V0.7-CONTROLLED-RESEARCH-SCREEN-NOT-DISTRIBUTION</x:v>
      </x:c>
    </x:row>
    <x:row r="1180" ht="22" customHeight="1">
      <x:c r="A1180" s="137" t="str">
        <x:v>SCR-1175</x:v>
      </x:c>
      <x:c r="B1180" s="142" t="n">
        <x:v>0.0000014153846153846155</x:v>
      </x:c>
      <x:c r="C1180" s="142" t="n">
        <x:v>0.010692307692307692</x:v>
      </x:c>
      <x:c r="D1180" s="160" t="n">
        <x:v>1</x:v>
      </x:c>
      <x:c r="E1180" s="162" t="n">
        <x:v>-3100.4328808735363</x:v>
      </x:c>
      <x:c r="F1180" s="162" t="n">
        <x:v>0</x:v>
      </x:c>
      <x:c r="G1180" s="144" t="n">
        <x:v>0.032346993395370546</x:v>
      </x:c>
      <x:c r="H1180" s="144" t="n">
        <x:v>0.5</x:v>
      </x:c>
      <x:c r="I1180" s="137" t="str">
        <x:v>NONPOSITIVE-MODEL-MARGIN</x:v>
      </x:c>
      <x:c r="J1180" s="137" t="str">
        <x:v>V0.7-CONTROLLED-RESEARCH-SCREEN-NOT-DISTRIBUTION</x:v>
      </x:c>
    </x:row>
    <x:row r="1181" ht="22" customHeight="1">
      <x:c r="A1181" s="136" t="str">
        <x:v>SCR-1176</x:v>
      </x:c>
      <x:c r="B1181" s="143" t="n">
        <x:v>0.0000014153846153846155</x:v>
      </x:c>
      <x:c r="C1181" s="143" t="n">
        <x:v>0.011</x:v>
      </x:c>
      <x:c r="D1181" s="161" t="n">
        <x:v>1</x:v>
      </x:c>
      <x:c r="E1181" s="163" t="n">
        <x:v>-3117.5428074327942</x:v>
      </x:c>
      <x:c r="F1181" s="163" t="n">
        <x:v>0</x:v>
      </x:c>
      <x:c r="G1181" s="145" t="n">
        <x:v>0.03264106970969614</x:v>
      </x:c>
      <x:c r="H1181" s="145" t="n">
        <x:v>0.5</x:v>
      </x:c>
      <x:c r="I1181" s="136" t="str">
        <x:v>NONPOSITIVE-MODEL-MARGIN</x:v>
      </x:c>
      <x:c r="J1181" s="136" t="str">
        <x:v>V0.7-CONTROLLED-RESEARCH-SCREEN-NOT-DISTRIBUTION</x:v>
      </x:c>
    </x:row>
    <x:row r="1182" ht="22" customHeight="1">
      <x:c r="A1182" s="137" t="str">
        <x:v>SCR-1177</x:v>
      </x:c>
      <x:c r="B1182" s="142" t="n">
        <x:v>0.0000014153846153846155</x:v>
      </x:c>
      <x:c r="C1182" s="142" t="n">
        <x:v>0.011307692307692307</x:v>
      </x:c>
      <x:c r="D1182" s="160" t="n">
        <x:v>1</x:v>
      </x:c>
      <x:c r="E1182" s="162" t="n">
        <x:v>-3134.608520850995</x:v>
      </x:c>
      <x:c r="F1182" s="162" t="n">
        <x:v>0</x:v>
      </x:c>
      <x:c r="G1182" s="144" t="n">
        <x:v>0.032935146024021734</x:v>
      </x:c>
      <x:c r="H1182" s="144" t="n">
        <x:v>0.5</x:v>
      </x:c>
      <x:c r="I1182" s="137" t="str">
        <x:v>NONPOSITIVE-MODEL-MARGIN</x:v>
      </x:c>
      <x:c r="J1182" s="137" t="str">
        <x:v>V0.7-CONTROLLED-RESEARCH-SCREEN-NOT-DISTRIBUTION</x:v>
      </x:c>
    </x:row>
    <x:row r="1183" ht="22" customHeight="1">
      <x:c r="A1183" s="136" t="str">
        <x:v>SCR-1178</x:v>
      </x:c>
      <x:c r="B1183" s="143" t="n">
        <x:v>0.0000014153846153846155</x:v>
      </x:c>
      <x:c r="C1183" s="143" t="n">
        <x:v>0.011615384615384614</x:v>
      </x:c>
      <x:c r="D1183" s="161" t="n">
        <x:v>1</x:v>
      </x:c>
      <x:c r="E1183" s="163" t="n">
        <x:v>-3151.630336150768</x:v>
      </x:c>
      <x:c r="F1183" s="163" t="n">
        <x:v>0</x:v>
      </x:c>
      <x:c r="G1183" s="145" t="n">
        <x:v>0.03322922233834734</x:v>
      </x:c>
      <x:c r="H1183" s="145" t="n">
        <x:v>0.5</x:v>
      </x:c>
      <x:c r="I1183" s="136" t="str">
        <x:v>NONPOSITIVE-MODEL-MARGIN</x:v>
      </x:c>
      <x:c r="J1183" s="136" t="str">
        <x:v>V0.7-CONTROLLED-RESEARCH-SCREEN-NOT-DISTRIBUTION</x:v>
      </x:c>
    </x:row>
    <x:row r="1184" ht="22" customHeight="1">
      <x:c r="A1184" s="137" t="str">
        <x:v>SCR-1179</x:v>
      </x:c>
      <x:c r="B1184" s="142" t="n">
        <x:v>0.0000014153846153846155</x:v>
      </x:c>
      <x:c r="C1184" s="142" t="n">
        <x:v>0.011923076923076925</x:v>
      </x:c>
      <x:c r="D1184" s="160" t="n">
        <x:v>1</x:v>
      </x:c>
      <x:c r="E1184" s="162" t="n">
        <x:v>-3168.608563860705</x:v>
      </x:c>
      <x:c r="F1184" s="162" t="n">
        <x:v>0</x:v>
      </x:c>
      <x:c r="G1184" s="144" t="n">
        <x:v>0.03352329865267294</x:v>
      </x:c>
      <x:c r="H1184" s="144" t="n">
        <x:v>0.5</x:v>
      </x:c>
      <x:c r="I1184" s="137" t="str">
        <x:v>NONPOSITIVE-MODEL-MARGIN</x:v>
      </x:c>
      <x:c r="J1184" s="137" t="str">
        <x:v>V0.7-CONTROLLED-RESEARCH-SCREEN-NOT-DISTRIBUTION</x:v>
      </x:c>
    </x:row>
    <x:row r="1185" ht="22" customHeight="1">
      <x:c r="A1185" s="136" t="str">
        <x:v>SCR-1180</x:v>
      </x:c>
      <x:c r="B1185" s="143" t="n">
        <x:v>0.0000014153846153846155</x:v>
      </x:c>
      <x:c r="C1185" s="143" t="n">
        <x:v>0.012230769230769233</x:v>
      </x:c>
      <x:c r="D1185" s="161" t="n">
        <x:v>1</x:v>
      </x:c>
      <x:c r="E1185" s="163" t="n">
        <x:v>-3185.543510105051</x:v>
      </x:c>
      <x:c r="F1185" s="163" t="n">
        <x:v>0</x:v>
      </x:c>
      <x:c r="G1185" s="145" t="n">
        <x:v>0.03381737496699855</x:v>
      </x:c>
      <x:c r="H1185" s="145" t="n">
        <x:v>0.5</x:v>
      </x:c>
      <x:c r="I1185" s="136" t="str">
        <x:v>NONPOSITIVE-MODEL-MARGIN</x:v>
      </x:c>
      <x:c r="J1185" s="136" t="str">
        <x:v>V0.7-CONTROLLED-RESEARCH-SCREEN-NOT-DISTRIBUTION</x:v>
      </x:c>
    </x:row>
    <x:row r="1186" ht="22" customHeight="1">
      <x:c r="A1186" s="137" t="str">
        <x:v>SCR-1181</x:v>
      </x:c>
      <x:c r="B1186" s="142" t="n">
        <x:v>0.0000014153846153846155</x:v>
      </x:c>
      <x:c r="C1186" s="142" t="n">
        <x:v>0.01253846153846154</x:v>
      </x:c>
      <x:c r="D1186" s="160" t="n">
        <x:v>1</x:v>
      </x:c>
      <x:c r="E1186" s="162" t="n">
        <x:v>-3202.435476691333</x:v>
      </x:c>
      <x:c r="F1186" s="162" t="n">
        <x:v>0</x:v>
      </x:c>
      <x:c r="G1186" s="144" t="n">
        <x:v>0.034111451281324146</x:v>
      </x:c>
      <x:c r="H1186" s="144" t="n">
        <x:v>0.5</x:v>
      </x:c>
      <x:c r="I1186" s="137" t="str">
        <x:v>NONPOSITIVE-MODEL-MARGIN</x:v>
      </x:c>
      <x:c r="J1186" s="137" t="str">
        <x:v>V0.7-CONTROLLED-RESEARCH-SCREEN-NOT-DISTRIBUTION</x:v>
      </x:c>
    </x:row>
    <x:row r="1187" ht="22" customHeight="1">
      <x:c r="A1187" s="136" t="str">
        <x:v>SCR-1182</x:v>
      </x:c>
      <x:c r="B1187" s="143" t="n">
        <x:v>0.0000014153846153846155</x:v>
      </x:c>
      <x:c r="C1187" s="143" t="n">
        <x:v>0.012846153846153847</x:v>
      </x:c>
      <x:c r="D1187" s="161" t="n">
        <x:v>1</x:v>
      </x:c>
      <x:c r="E1187" s="163" t="n">
        <x:v>-3219.2847611958346</x:v>
      </x:c>
      <x:c r="F1187" s="163" t="n">
        <x:v>0</x:v>
      </x:c>
      <x:c r="G1187" s="145" t="n">
        <x:v>0.03440552759564974</x:v>
      </x:c>
      <x:c r="H1187" s="145" t="n">
        <x:v>0.5</x:v>
      </x:c>
      <x:c r="I1187" s="136" t="str">
        <x:v>NONPOSITIVE-MODEL-MARGIN</x:v>
      </x:c>
      <x:c r="J1187" s="136" t="str">
        <x:v>V0.7-CONTROLLED-RESEARCH-SCREEN-NOT-DISTRIBUTION</x:v>
      </x:c>
    </x:row>
    <x:row r="1188" ht="22" customHeight="1">
      <x:c r="A1188" s="137" t="str">
        <x:v>SCR-1183</x:v>
      </x:c>
      <x:c r="B1188" s="142" t="n">
        <x:v>0.0000014153846153846155</x:v>
      </x:c>
      <x:c r="C1188" s="142" t="n">
        <x:v>0.013153846153846155</x:v>
      </x:c>
      <x:c r="D1188" s="160" t="n">
        <x:v>1</x:v>
      </x:c>
      <x:c r="E1188" s="162" t="n">
        <x:v>-3236.0916570470945</x:v>
      </x:c>
      <x:c r="F1188" s="162" t="n">
        <x:v>0</x:v>
      </x:c>
      <x:c r="G1188" s="144" t="n">
        <x:v>0.03469960390997535</x:v>
      </x:c>
      <x:c r="H1188" s="144" t="n">
        <x:v>0.5</x:v>
      </x:c>
      <x:c r="I1188" s="137" t="str">
        <x:v>NONPOSITIVE-MODEL-MARGIN</x:v>
      </x:c>
      <x:c r="J1188" s="137" t="str">
        <x:v>V0.7-CONTROLLED-RESEARCH-SCREEN-NOT-DISTRIBUTION</x:v>
      </x:c>
    </x:row>
    <x:row r="1189" ht="22" customHeight="1">
      <x:c r="A1189" s="136" t="str">
        <x:v>SCR-1184</x:v>
      </x:c>
      <x:c r="B1189" s="143" t="n">
        <x:v>0.0000014153846153846155</x:v>
      </x:c>
      <x:c r="C1189" s="143" t="n">
        <x:v>0.013461538461538462</x:v>
      </x:c>
      <x:c r="D1189" s="161" t="n">
        <x:v>1</x:v>
      </x:c>
      <x:c r="E1189" s="163" t="n">
        <x:v>-3252.8564536073686</x:v>
      </x:c>
      <x:c r="F1189" s="163" t="n">
        <x:v>0</x:v>
      </x:c>
      <x:c r="G1189" s="145" t="n">
        <x:v>0.03499368022430095</x:v>
      </x:c>
      <x:c r="H1189" s="145" t="n">
        <x:v>0.5</x:v>
      </x:c>
      <x:c r="I1189" s="136" t="str">
        <x:v>NONPOSITIVE-MODEL-MARGIN</x:v>
      </x:c>
      <x:c r="J1189" s="136" t="str">
        <x:v>V0.7-CONTROLLED-RESEARCH-SCREEN-NOT-DISTRIBUTION</x:v>
      </x:c>
    </x:row>
    <x:row r="1190" ht="22" customHeight="1">
      <x:c r="A1190" s="137" t="str">
        <x:v>SCR-1185</x:v>
      </x:c>
      <x:c r="B1190" s="142" t="n">
        <x:v>0.0000014153846153846155</x:v>
      </x:c>
      <x:c r="C1190" s="142" t="n">
        <x:v>0.01376923076923077</x:v>
      </x:c>
      <x:c r="D1190" s="160" t="n">
        <x:v>1</x:v>
      </x:c>
      <x:c r="E1190" s="162" t="n">
        <x:v>-3269.5794362521674</x:v>
      </x:c>
      <x:c r="F1190" s="162" t="n">
        <x:v>0</x:v>
      </x:c>
      <x:c r="G1190" s="144" t="n">
        <x:v>0.035287756538626536</x:v>
      </x:c>
      <x:c r="H1190" s="144" t="n">
        <x:v>0.5</x:v>
      </x:c>
      <x:c r="I1190" s="137" t="str">
        <x:v>NONPOSITIVE-MODEL-MARGIN</x:v>
      </x:c>
      <x:c r="J1190" s="137" t="str">
        <x:v>V0.7-CONTROLLED-RESEARCH-SCREEN-NOT-DISTRIBUTION</x:v>
      </x:c>
    </x:row>
    <x:row r="1191" ht="22" customHeight="1">
      <x:c r="A1191" s="136" t="str">
        <x:v>SCR-1186</x:v>
      </x:c>
      <x:c r="B1191" s="143" t="n">
        <x:v>0.0000014153846153846155</x:v>
      </x:c>
      <x:c r="C1191" s="143" t="n">
        <x:v>0.014076923076923077</x:v>
      </x:c>
      <x:c r="D1191" s="161" t="n">
        <x:v>1</x:v>
      </x:c>
      <x:c r="E1191" s="163" t="n">
        <x:v>-3286.2608864479103</x:v>
      </x:c>
      <x:c r="F1191" s="163" t="n">
        <x:v>0</x:v>
      </x:c>
      <x:c r="G1191" s="145" t="n">
        <x:v>0.035581832852952154</x:v>
      </x:c>
      <x:c r="H1191" s="145" t="n">
        <x:v>0.5</x:v>
      </x:c>
      <x:c r="I1191" s="136" t="str">
        <x:v>NONPOSITIVE-MODEL-MARGIN</x:v>
      </x:c>
      <x:c r="J1191" s="136" t="str">
        <x:v>V0.7-CONTROLLED-RESEARCH-SCREEN-NOT-DISTRIBUTION</x:v>
      </x:c>
    </x:row>
    <x:row r="1192" ht="22" customHeight="1">
      <x:c r="A1192" s="137" t="str">
        <x:v>SCR-1187</x:v>
      </x:c>
      <x:c r="B1192" s="142" t="n">
        <x:v>0.0000014153846153846155</x:v>
      </x:c>
      <x:c r="C1192" s="142" t="n">
        <x:v>0.014384615384615385</x:v>
      </x:c>
      <x:c r="D1192" s="160" t="n">
        <x:v>1</x:v>
      </x:c>
      <x:c r="E1192" s="162" t="n">
        <x:v>-3302.901081827739</x:v>
      </x:c>
      <x:c r="F1192" s="162" t="n">
        <x:v>0</x:v>
      </x:c>
      <x:c r="G1192" s="144" t="n">
        <x:v>0.035875909167277745</x:v>
      </x:c>
      <x:c r="H1192" s="144" t="n">
        <x:v>0.5</x:v>
      </x:c>
      <x:c r="I1192" s="137" t="str">
        <x:v>NONPOSITIVE-MODEL-MARGIN</x:v>
      </x:c>
      <x:c r="J1192" s="137" t="str">
        <x:v>V0.7-CONTROLLED-RESEARCH-SCREEN-NOT-DISTRIBUTION</x:v>
      </x:c>
    </x:row>
    <x:row r="1193" ht="22" customHeight="1">
      <x:c r="A1193" s="136" t="str">
        <x:v>SCR-1188</x:v>
      </x:c>
      <x:c r="B1193" s="143" t="n">
        <x:v>0.0000014153846153846155</x:v>
      </x:c>
      <x:c r="C1193" s="143" t="n">
        <x:v>0.014692307692307692</x:v>
      </x:c>
      <x:c r="D1193" s="161" t="n">
        <x:v>1</x:v>
      </x:c>
      <x:c r="E1193" s="163" t="n">
        <x:v>-3319.500296265494</x:v>
      </x:c>
      <x:c r="F1193" s="163" t="n">
        <x:v>0</x:v>
      </x:c>
      <x:c r="G1193" s="145" t="n">
        <x:v>0.03616998548160335</x:v>
      </x:c>
      <x:c r="H1193" s="145" t="n">
        <x:v>0.5</x:v>
      </x:c>
      <x:c r="I1193" s="136" t="str">
        <x:v>NONPOSITIVE-MODEL-MARGIN</x:v>
      </x:c>
      <x:c r="J1193" s="136" t="str">
        <x:v>V0.7-CONTROLLED-RESEARCH-SCREEN-NOT-DISTRIBUTION</x:v>
      </x:c>
    </x:row>
    <x:row r="1194" ht="22" customHeight="1">
      <x:c r="A1194" s="137" t="str">
        <x:v>SCR-1189</x:v>
      </x:c>
      <x:c r="B1194" s="142" t="n">
        <x:v>0.0000014153846153846155</x:v>
      </x:c>
      <x:c r="C1194" s="142" t="n">
        <x:v>0.015</x:v>
      </x:c>
      <x:c r="D1194" s="160" t="n">
        <x:v>1</x:v>
      </x:c>
      <x:c r="E1194" s="162" t="n">
        <x:v>-3336.058799947984</x:v>
      </x:c>
      <x:c r="F1194" s="162" t="n">
        <x:v>0</x:v>
      </x:c>
      <x:c r="G1194" s="144" t="n">
        <x:v>0.03646406179592895</x:v>
      </x:c>
      <x:c r="H1194" s="144" t="n">
        <x:v>0.5</x:v>
      </x:c>
      <x:c r="I1194" s="137" t="str">
        <x:v>NONPOSITIVE-MODEL-MARGIN</x:v>
      </x:c>
      <x:c r="J1194" s="137" t="str">
        <x:v>V0.7-CONTROLLED-RESEARCH-SCREEN-NOT-DISTRIBUTION</x:v>
      </x:c>
    </x:row>
    <x:row r="1195" ht="22" customHeight="1">
      <x:c r="A1195" s="136" t="str">
        <x:v>SCR-1190</x:v>
      </x:c>
      <x:c r="B1195" s="143" t="n">
        <x:v>0.000001464102564102564</x:v>
      </x:c>
      <x:c r="C1195" s="143" t="n">
        <x:v>0.003</x:v>
      </x:c>
      <x:c r="D1195" s="161" t="n">
        <x:v>1</x:v>
      </x:c>
      <x:c r="E1195" s="163" t="n">
        <x:v>-2700.1808061944703</x:v>
      </x:c>
      <x:c r="F1195" s="163" t="n">
        <x:v>0</x:v>
      </x:c>
      <x:c r="G1195" s="145" t="n">
        <x:v>0.025701964408380285</x:v>
      </x:c>
      <x:c r="H1195" s="145" t="n">
        <x:v>0.5</x:v>
      </x:c>
      <x:c r="I1195" s="136" t="str">
        <x:v>NONPOSITIVE-MODEL-MARGIN</x:v>
      </x:c>
      <x:c r="J1195" s="136" t="str">
        <x:v>V0.7-CONTROLLED-RESEARCH-SCREEN-NOT-DISTRIBUTION</x:v>
      </x:c>
    </x:row>
    <x:row r="1196" ht="22" customHeight="1">
      <x:c r="A1196" s="137" t="str">
        <x:v>SCR-1191</x:v>
      </x:c>
      <x:c r="B1196" s="142" t="n">
        <x:v>0.000001464102564102564</x:v>
      </x:c>
      <x:c r="C1196" s="142" t="n">
        <x:v>0.003307692307692308</x:v>
      </x:c>
      <x:c r="D1196" s="160" t="n">
        <x:v>1</x:v>
      </x:c>
      <x:c r="E1196" s="162" t="n">
        <x:v>-2718.400416396426</x:v>
      </x:c>
      <x:c r="F1196" s="162" t="n">
        <x:v>0</x:v>
      </x:c>
      <x:c r="G1196" s="144" t="n">
        <x:v>0.025995603122092148</x:v>
      </x:c>
      <x:c r="H1196" s="144" t="n">
        <x:v>0.5</x:v>
      </x:c>
      <x:c r="I1196" s="137" t="str">
        <x:v>NONPOSITIVE-MODEL-MARGIN</x:v>
      </x:c>
      <x:c r="J1196" s="137" t="str">
        <x:v>V0.7-CONTROLLED-RESEARCH-SCREEN-NOT-DISTRIBUTION</x:v>
      </x:c>
    </x:row>
    <x:row r="1197" ht="22" customHeight="1">
      <x:c r="A1197" s="136" t="str">
        <x:v>SCR-1192</x:v>
      </x:c>
      <x:c r="B1197" s="143" t="n">
        <x:v>0.000001464102564102564</x:v>
      </x:c>
      <x:c r="C1197" s="143" t="n">
        <x:v>0.0036153846153846154</x:v>
      </x:c>
      <x:c r="D1197" s="161" t="n">
        <x:v>1</x:v>
      </x:c>
      <x:c r="E1197" s="163" t="n">
        <x:v>-2736.567177340004</x:v>
      </x:c>
      <x:c r="F1197" s="163" t="n">
        <x:v>0</x:v>
      </x:c>
      <x:c r="G1197" s="145" t="n">
        <x:v>0.026289241835804018</x:v>
      </x:c>
      <x:c r="H1197" s="145" t="n">
        <x:v>0.5</x:v>
      </x:c>
      <x:c r="I1197" s="136" t="str">
        <x:v>NONPOSITIVE-MODEL-MARGIN</x:v>
      </x:c>
      <x:c r="J1197" s="136" t="str">
        <x:v>V0.7-CONTROLLED-RESEARCH-SCREEN-NOT-DISTRIBUTION</x:v>
      </x:c>
    </x:row>
    <x:row r="1198" ht="22" customHeight="1">
      <x:c r="A1198" s="137" t="str">
        <x:v>SCR-1193</x:v>
      </x:c>
      <x:c r="B1198" s="142" t="n">
        <x:v>0.000001464102564102564</x:v>
      </x:c>
      <x:c r="C1198" s="142" t="n">
        <x:v>0.003923076923076923</x:v>
      </x:c>
      <x:c r="D1198" s="160" t="n">
        <x:v>1</x:v>
      </x:c>
      <x:c r="E1198" s="162" t="n">
        <x:v>-2754.6815372763776</x:v>
      </x:c>
      <x:c r="F1198" s="162" t="n">
        <x:v>0</x:v>
      </x:c>
      <x:c r="G1198" s="144" t="n">
        <x:v>0.02658288054951588</x:v>
      </x:c>
      <x:c r="H1198" s="144" t="n">
        <x:v>0.5</x:v>
      </x:c>
      <x:c r="I1198" s="137" t="str">
        <x:v>NONPOSITIVE-MODEL-MARGIN</x:v>
      </x:c>
      <x:c r="J1198" s="137" t="str">
        <x:v>V0.7-CONTROLLED-RESEARCH-SCREEN-NOT-DISTRIBUTION</x:v>
      </x:c>
    </x:row>
    <x:row r="1199" ht="22" customHeight="1">
      <x:c r="A1199" s="136" t="str">
        <x:v>SCR-1194</x:v>
      </x:c>
      <x:c r="B1199" s="143" t="n">
        <x:v>0.000001464102564102564</x:v>
      </x:c>
      <x:c r="C1199" s="143" t="n">
        <x:v>0.004230769230769231</x:v>
      </x:c>
      <x:c r="D1199" s="161" t="n">
        <x:v>1</x:v>
      </x:c>
      <x:c r="E1199" s="163" t="n">
        <x:v>-2776.3331951408027</x:v>
      </x:c>
      <x:c r="F1199" s="163" t="n">
        <x:v>0</x:v>
      </x:c>
      <x:c r="G1199" s="145" t="n">
        <x:v>0.026876519263227754</x:v>
      </x:c>
      <x:c r="H1199" s="145" t="n">
        <x:v>0.5</x:v>
      </x:c>
      <x:c r="I1199" s="136" t="str">
        <x:v>NONPOSITIVE-MODEL-MARGIN</x:v>
      </x:c>
      <x:c r="J1199" s="136" t="str">
        <x:v>V0.7-CONTROLLED-RESEARCH-SCREEN-NOT-DISTRIBUTION</x:v>
      </x:c>
    </x:row>
    <x:row r="1200" ht="22" customHeight="1">
      <x:c r="A1200" s="137" t="str">
        <x:v>SCR-1195</x:v>
      </x:c>
      <x:c r="B1200" s="142" t="n">
        <x:v>0.000001464102564102564</x:v>
      </x:c>
      <x:c r="C1200" s="142" t="n">
        <x:v>0.004538461538461538</x:v>
      </x:c>
      <x:c r="D1200" s="160" t="n">
        <x:v>1</x:v>
      </x:c>
      <x:c r="E1200" s="162" t="n">
        <x:v>-2794.332900826259</x:v>
      </x:c>
      <x:c r="F1200" s="162" t="n">
        <x:v>0</x:v>
      </x:c>
      <x:c r="G1200" s="144" t="n">
        <x:v>0.027170157976939613</x:v>
      </x:c>
      <x:c r="H1200" s="144" t="n">
        <x:v>0.5</x:v>
      </x:c>
      <x:c r="I1200" s="137" t="str">
        <x:v>NONPOSITIVE-MODEL-MARGIN</x:v>
      </x:c>
      <x:c r="J1200" s="137" t="str">
        <x:v>V0.7-CONTROLLED-RESEARCH-SCREEN-NOT-DISTRIBUTION</x:v>
      </x:c>
    </x:row>
    <x:row r="1201" ht="22" customHeight="1">
      <x:c r="A1201" s="136" t="str">
        <x:v>SCR-1196</x:v>
      </x:c>
      <x:c r="B1201" s="143" t="n">
        <x:v>0.000001464102564102564</x:v>
      </x:c>
      <x:c r="C1201" s="143" t="n">
        <x:v>0.004846153846153846</x:v>
      </x:c>
      <x:c r="D1201" s="161" t="n">
        <x:v>1</x:v>
      </x:c>
      <x:c r="E1201" s="163" t="n">
        <x:v>-2812.281623893306</x:v>
      </x:c>
      <x:c r="F1201" s="163" t="n">
        <x:v>0</x:v>
      </x:c>
      <x:c r="G1201" s="145" t="n">
        <x:v>0.027463796690651483</x:v>
      </x:c>
      <x:c r="H1201" s="145" t="n">
        <x:v>0.5</x:v>
      </x:c>
      <x:c r="I1201" s="136" t="str">
        <x:v>NONPOSITIVE-MODEL-MARGIN</x:v>
      </x:c>
      <x:c r="J1201" s="136" t="str">
        <x:v>V0.7-CONTROLLED-RESEARCH-SCREEN-NOT-DISTRIBUTION</x:v>
      </x:c>
    </x:row>
    <x:row r="1202" ht="22" customHeight="1">
      <x:c r="A1202" s="137" t="str">
        <x:v>SCR-1197</x:v>
      </x:c>
      <x:c r="B1202" s="142" t="n">
        <x:v>0.000001464102564102564</x:v>
      </x:c>
      <x:c r="C1202" s="142" t="n">
        <x:v>0.005</x:v>
      </x:c>
      <x:c r="D1202" s="160" t="n">
        <x:v>1</x:v>
      </x:c>
      <x:c r="E1202" s="162" t="n">
        <x:v>-2821.2369976881787</x:v>
      </x:c>
      <x:c r="F1202" s="162" t="n">
        <x:v>0</x:v>
      </x:c>
      <x:c r="G1202" s="144" t="n">
        <x:v>0.027610616047507412</x:v>
      </x:c>
      <x:c r="H1202" s="144" t="n">
        <x:v>0.5</x:v>
      </x:c>
      <x:c r="I1202" s="137" t="str">
        <x:v>NONPOSITIVE-MODEL-MARGIN</x:v>
      </x:c>
      <x:c r="J1202" s="137" t="str">
        <x:v>V0.7-CONTROLLED-RESEARCH-SCREEN-NOT-DISTRIBUTION</x:v>
      </x:c>
    </x:row>
    <x:row r="1203" ht="22" customHeight="1">
      <x:c r="A1203" s="136" t="str">
        <x:v>SCR-1198</x:v>
      </x:c>
      <x:c r="B1203" s="143" t="n">
        <x:v>0.000001464102564102564</x:v>
      </x:c>
      <x:c r="C1203" s="143" t="n">
        <x:v>0.005153846153846154</x:v>
      </x:c>
      <x:c r="D1203" s="161" t="n">
        <x:v>1</x:v>
      </x:c>
      <x:c r="E1203" s="163" t="n">
        <x:v>-2830.1797818890855</x:v>
      </x:c>
      <x:c r="F1203" s="163" t="n">
        <x:v>0</x:v>
      </x:c>
      <x:c r="G1203" s="145" t="n">
        <x:v>0.02775743540436335</x:v>
      </x:c>
      <x:c r="H1203" s="145" t="n">
        <x:v>0.5</x:v>
      </x:c>
      <x:c r="I1203" s="136" t="str">
        <x:v>NONPOSITIVE-MODEL-MARGIN</x:v>
      </x:c>
      <x:c r="J1203" s="136" t="str">
        <x:v>V0.7-CONTROLLED-RESEARCH-SCREEN-NOT-DISTRIBUTION</x:v>
      </x:c>
    </x:row>
    <x:row r="1204" ht="22" customHeight="1">
      <x:c r="A1204" s="137" t="str">
        <x:v>SCR-1199</x:v>
      </x:c>
      <x:c r="B1204" s="142" t="n">
        <x:v>0.000001464102564102564</x:v>
      </x:c>
      <x:c r="C1204" s="142" t="n">
        <x:v>0.005461538461538462</x:v>
      </x:c>
      <x:c r="D1204" s="160" t="n">
        <x:v>1</x:v>
      </x:c>
      <x:c r="E1204" s="162" t="n">
        <x:v>-2848.0277857523834</x:v>
      </x:c>
      <x:c r="F1204" s="162" t="n">
        <x:v>0</x:v>
      </x:c>
      <x:c r="G1204" s="144" t="n">
        <x:v>0.028051074118075208</x:v>
      </x:c>
      <x:c r="H1204" s="144" t="n">
        <x:v>0.5</x:v>
      </x:c>
      <x:c r="I1204" s="137" t="str">
        <x:v>NONPOSITIVE-MODEL-MARGIN</x:v>
      </x:c>
      <x:c r="J1204" s="137" t="str">
        <x:v>V0.7-CONTROLLED-RESEARCH-SCREEN-NOT-DISTRIBUTION</x:v>
      </x:c>
    </x:row>
    <x:row r="1205" ht="22" customHeight="1">
      <x:c r="A1205" s="136" t="str">
        <x:v>SCR-1200</x:v>
      </x:c>
      <x:c r="B1205" s="143" t="n">
        <x:v>0.000001464102564102564</x:v>
      </x:c>
      <x:c r="C1205" s="143" t="n">
        <x:v>0.0057692307692307696</x:v>
      </x:c>
      <x:c r="D1205" s="161" t="n">
        <x:v>1</x:v>
      </x:c>
      <x:c r="E1205" s="163" t="n">
        <x:v>-2865.8260399515407</x:v>
      </x:c>
      <x:c r="F1205" s="163" t="n">
        <x:v>0</x:v>
      </x:c>
      <x:c r="G1205" s="145" t="n">
        <x:v>0.02834471283178708</x:v>
      </x:c>
      <x:c r="H1205" s="145" t="n">
        <x:v>0.5</x:v>
      </x:c>
      <x:c r="I1205" s="136" t="str">
        <x:v>NONPOSITIVE-MODEL-MARGIN</x:v>
      </x:c>
      <x:c r="J1205" s="136" t="str">
        <x:v>V0.7-CONTROLLED-RESEARCH-SCREEN-NOT-DISTRIBUTION</x:v>
      </x:c>
    </x:row>
    <x:row r="1206" ht="22" customHeight="1">
      <x:c r="A1206" s="137" t="str">
        <x:v>SCR-1201</x:v>
      </x:c>
      <x:c r="B1206" s="142" t="n">
        <x:v>0.000001464102564102564</x:v>
      </x:c>
      <x:c r="C1206" s="142" t="n">
        <x:v>0.006076923076923077</x:v>
      </x:c>
      <x:c r="D1206" s="160" t="n">
        <x:v>1</x:v>
      </x:c>
      <x:c r="E1206" s="162" t="n">
        <x:v>-2883.5749426195107</x:v>
      </x:c>
      <x:c r="F1206" s="162" t="n">
        <x:v>0</x:v>
      </x:c>
      <x:c r="G1206" s="144" t="n">
        <x:v>0.028638351545498944</x:v>
      </x:c>
      <x:c r="H1206" s="144" t="n">
        <x:v>0.5</x:v>
      </x:c>
      <x:c r="I1206" s="137" t="str">
        <x:v>NONPOSITIVE-MODEL-MARGIN</x:v>
      </x:c>
      <x:c r="J1206" s="137" t="str">
        <x:v>V0.7-CONTROLLED-RESEARCH-SCREEN-NOT-DISTRIBUTION</x:v>
      </x:c>
    </x:row>
    <x:row r="1207" ht="22" customHeight="1">
      <x:c r="A1207" s="136" t="str">
        <x:v>SCR-1202</x:v>
      </x:c>
      <x:c r="B1207" s="143" t="n">
        <x:v>0.000001464102564102564</x:v>
      </x:c>
      <x:c r="C1207" s="143" t="n">
        <x:v>0.006384615384615384</x:v>
      </x:c>
      <x:c r="D1207" s="161" t="n">
        <x:v>1</x:v>
      </x:c>
      <x:c r="E1207" s="163" t="n">
        <x:v>-2901.2748856860485</x:v>
      </x:c>
      <x:c r="F1207" s="163" t="n">
        <x:v>0</x:v>
      </x:c>
      <x:c r="G1207" s="145" t="n">
        <x:v>0.028931990259210803</x:v>
      </x:c>
      <x:c r="H1207" s="145" t="n">
        <x:v>0.5</x:v>
      </x:c>
      <x:c r="I1207" s="136" t="str">
        <x:v>NONPOSITIVE-MODEL-MARGIN</x:v>
      </x:c>
      <x:c r="J1207" s="136" t="str">
        <x:v>V0.7-CONTROLLED-RESEARCH-SCREEN-NOT-DISTRIBUTION</x:v>
      </x:c>
    </x:row>
    <x:row r="1208" ht="22" customHeight="1">
      <x:c r="A1208" s="137" t="str">
        <x:v>SCR-1203</x:v>
      </x:c>
      <x:c r="B1208" s="142" t="n">
        <x:v>0.000001464102564102564</x:v>
      </x:c>
      <x:c r="C1208" s="142" t="n">
        <x:v>0.006692307692307693</x:v>
      </x:c>
      <x:c r="D1208" s="160" t="n">
        <x:v>1</x:v>
      </x:c>
      <x:c r="E1208" s="162" t="n">
        <x:v>-2918.92625500705</x:v>
      </x:c>
      <x:c r="F1208" s="162" t="n">
        <x:v>0</x:v>
      </x:c>
      <x:c r="G1208" s="144" t="n">
        <x:v>0.029225628972922683</x:v>
      </x:c>
      <x:c r="H1208" s="144" t="n">
        <x:v>0.5</x:v>
      </x:c>
      <x:c r="I1208" s="137" t="str">
        <x:v>NONPOSITIVE-MODEL-MARGIN</x:v>
      </x:c>
      <x:c r="J1208" s="137" t="str">
        <x:v>V0.7-CONTROLLED-RESEARCH-SCREEN-NOT-DISTRIBUTION</x:v>
      </x:c>
    </x:row>
    <x:row r="1209" ht="22" customHeight="1">
      <x:c r="A1209" s="136" t="str">
        <x:v>SCR-1204</x:v>
      </x:c>
      <x:c r="B1209" s="143" t="n">
        <x:v>0.000001464102564102564</x:v>
      </x:c>
      <x:c r="C1209" s="143" t="n">
        <x:v>0.007</x:v>
      </x:c>
      <x:c r="D1209" s="161" t="n">
        <x:v>1</x:v>
      </x:c>
      <x:c r="E1209" s="163" t="n">
        <x:v>-2936.5294304910676</x:v>
      </x:c>
      <x:c r="F1209" s="163" t="n">
        <x:v>0</x:v>
      </x:c>
      <x:c r="G1209" s="145" t="n">
        <x:v>0.02951926768663454</x:v>
      </x:c>
      <x:c r="H1209" s="145" t="n">
        <x:v>0.5</x:v>
      </x:c>
      <x:c r="I1209" s="136" t="str">
        <x:v>NONPOSITIVE-MODEL-MARGIN</x:v>
      </x:c>
      <x:c r="J1209" s="136" t="str">
        <x:v>V0.7-CONTROLLED-RESEARCH-SCREEN-NOT-DISTRIBUTION</x:v>
      </x:c>
    </x:row>
    <x:row r="1210" ht="22" customHeight="1">
      <x:c r="A1210" s="137" t="str">
        <x:v>SCR-1205</x:v>
      </x:c>
      <x:c r="B1210" s="142" t="n">
        <x:v>0.000001464102564102564</x:v>
      </x:c>
      <x:c r="C1210" s="142" t="n">
        <x:v>0.007307692307692308</x:v>
      </x:c>
      <x:c r="D1210" s="160" t="n">
        <x:v>1</x:v>
      </x:c>
      <x:c r="E1210" s="162" t="n">
        <x:v>-2954.0847862230335</x:v>
      </x:c>
      <x:c r="F1210" s="162" t="n">
        <x:v>0</x:v>
      </x:c>
      <x:c r="G1210" s="144" t="n">
        <x:v>0.02981290640034641</x:v>
      </x:c>
      <x:c r="H1210" s="144" t="n">
        <x:v>0.5</x:v>
      </x:c>
      <x:c r="I1210" s="137" t="str">
        <x:v>NONPOSITIVE-MODEL-MARGIN</x:v>
      </x:c>
      <x:c r="J1210" s="137" t="str">
        <x:v>V0.7-CONTROLLED-RESEARCH-SCREEN-NOT-DISTRIBUTION</x:v>
      </x:c>
    </x:row>
    <x:row r="1211" ht="22" customHeight="1">
      <x:c r="A1211" s="136" t="str">
        <x:v>SCR-1206</x:v>
      </x:c>
      <x:c r="B1211" s="143" t="n">
        <x:v>0.000001464102564102564</x:v>
      </x:c>
      <x:c r="C1211" s="143" t="n">
        <x:v>0.007615384615384616</x:v>
      </x:c>
      <x:c r="D1211" s="161" t="n">
        <x:v>1</x:v>
      </x:c>
      <x:c r="E1211" s="163" t="n">
        <x:v>-2971.592690585188</x:v>
      </x:c>
      <x:c r="F1211" s="163" t="n">
        <x:v>0</x:v>
      </x:c>
      <x:c r="G1211" s="145" t="n">
        <x:v>0.03010654511405828</x:v>
      </x:c>
      <x:c r="H1211" s="145" t="n">
        <x:v>0.5</x:v>
      </x:c>
      <x:c r="I1211" s="136" t="str">
        <x:v>NONPOSITIVE-MODEL-MARGIN</x:v>
      </x:c>
      <x:c r="J1211" s="136" t="str">
        <x:v>V0.7-CONTROLLED-RESEARCH-SCREEN-NOT-DISTRIBUTION</x:v>
      </x:c>
    </x:row>
    <x:row r="1212" ht="22" customHeight="1">
      <x:c r="A1212" s="137" t="str">
        <x:v>SCR-1207</x:v>
      </x:c>
      <x:c r="B1212" s="142" t="n">
        <x:v>0.000001464102564102564</x:v>
      </x:c>
      <x:c r="C1212" s="142" t="n">
        <x:v>0.007923076923076923</x:v>
      </x:c>
      <x:c r="D1212" s="160" t="n">
        <x:v>1</x:v>
      </x:c>
      <x:c r="E1212" s="162" t="n">
        <x:v>-2989.0535063752686</x:v>
      </x:c>
      <x:c r="F1212" s="162" t="n">
        <x:v>0</x:v>
      </x:c>
      <x:c r="G1212" s="144" t="n">
        <x:v>0.03040018382777014</x:v>
      </x:c>
      <x:c r="H1212" s="144" t="n">
        <x:v>0.5</x:v>
      </x:c>
      <x:c r="I1212" s="137" t="str">
        <x:v>NONPOSITIVE-MODEL-MARGIN</x:v>
      </x:c>
      <x:c r="J1212" s="137" t="str">
        <x:v>V0.7-CONTROLLED-RESEARCH-SCREEN-NOT-DISTRIBUTION</x:v>
      </x:c>
    </x:row>
    <x:row r="1213" ht="22" customHeight="1">
      <x:c r="A1213" s="136" t="str">
        <x:v>SCR-1208</x:v>
      </x:c>
      <x:c r="B1213" s="143" t="n">
        <x:v>0.000001464102564102564</x:v>
      </x:c>
      <x:c r="C1213" s="143" t="n">
        <x:v>0.00823076923076923</x:v>
      </x:c>
      <x:c r="D1213" s="161" t="n">
        <x:v>1</x:v>
      </x:c>
      <x:c r="E1213" s="163" t="n">
        <x:v>-3006.467590921984</x:v>
      </x:c>
      <x:c r="F1213" s="163" t="n">
        <x:v>0</x:v>
      </x:c>
      <x:c r="G1213" s="145" t="n">
        <x:v>0.030693822541482004</x:v>
      </x:c>
      <x:c r="H1213" s="145" t="n">
        <x:v>0.5</x:v>
      </x:c>
      <x:c r="I1213" s="136" t="str">
        <x:v>NONPOSITIVE-MODEL-MARGIN</x:v>
      </x:c>
      <x:c r="J1213" s="136" t="str">
        <x:v>V0.7-CONTROLLED-RESEARCH-SCREEN-NOT-DISTRIBUTION</x:v>
      </x:c>
    </x:row>
    <x:row r="1214" ht="22" customHeight="1">
      <x:c r="A1214" s="137" t="str">
        <x:v>SCR-1209</x:v>
      </x:c>
      <x:c r="B1214" s="142" t="n">
        <x:v>0.000001464102564102564</x:v>
      </x:c>
      <x:c r="C1214" s="142" t="n">
        <x:v>0.00853846153846154</x:v>
      </x:c>
      <x:c r="D1214" s="160" t="n">
        <x:v>1</x:v>
      </x:c>
      <x:c r="E1214" s="162" t="n">
        <x:v>-3023.8352961978667</x:v>
      </x:c>
      <x:c r="F1214" s="162" t="n">
        <x:v>0</x:v>
      </x:c>
      <x:c r="G1214" s="144" t="n">
        <x:v>0.030987461255193877</x:v>
      </x:c>
      <x:c r="H1214" s="144" t="n">
        <x:v>0.5</x:v>
      </x:c>
      <x:c r="I1214" s="137" t="str">
        <x:v>NONPOSITIVE-MODEL-MARGIN</x:v>
      </x:c>
      <x:c r="J1214" s="137" t="str">
        <x:v>V0.7-CONTROLLED-RESEARCH-SCREEN-NOT-DISTRIBUTION</x:v>
      </x:c>
    </x:row>
    <x:row r="1215" ht="22" customHeight="1">
      <x:c r="A1215" s="136" t="str">
        <x:v>SCR-1210</x:v>
      </x:c>
      <x:c r="B1215" s="143" t="n">
        <x:v>0.000001464102564102564</x:v>
      </x:c>
      <x:c r="C1215" s="143" t="n">
        <x:v>0.008846153846153847</x:v>
      </x:c>
      <x:c r="D1215" s="161" t="n">
        <x:v>1</x:v>
      </x:c>
      <x:c r="E1215" s="163" t="n">
        <x:v>-3041.1569689294406</x:v>
      </x:c>
      <x:c r="F1215" s="163" t="n">
        <x:v>0</x:v>
      </x:c>
      <x:c r="G1215" s="145" t="n">
        <x:v>0.03128109996890573</x:v>
      </x:c>
      <x:c r="H1215" s="145" t="n">
        <x:v>0.5</x:v>
      </x:c>
      <x:c r="I1215" s="136" t="str">
        <x:v>NONPOSITIVE-MODEL-MARGIN</x:v>
      </x:c>
      <x:c r="J1215" s="136" t="str">
        <x:v>V0.7-CONTROLLED-RESEARCH-SCREEN-NOT-DISTRIBUTION</x:v>
      </x:c>
    </x:row>
    <x:row r="1216" ht="22" customHeight="1">
      <x:c r="A1216" s="137" t="str">
        <x:v>SCR-1211</x:v>
      </x:c>
      <x:c r="B1216" s="142" t="n">
        <x:v>0.000001464102564102564</x:v>
      </x:c>
      <x:c r="C1216" s="142" t="n">
        <x:v>0.009153846153846155</x:v>
      </x:c>
      <x:c r="D1216" s="160" t="n">
        <x:v>1</x:v>
      </x:c>
      <x:c r="E1216" s="162" t="n">
        <x:v>-3058.4329507048756</x:v>
      </x:c>
      <x:c r="F1216" s="162" t="n">
        <x:v>0</x:v>
      </x:c>
      <x:c r="G1216" s="144" t="n">
        <x:v>0.031574738682617606</x:v>
      </x:c>
      <x:c r="H1216" s="144" t="n">
        <x:v>0.5</x:v>
      </x:c>
      <x:c r="I1216" s="137" t="str">
        <x:v>NONPOSITIVE-MODEL-MARGIN</x:v>
      </x:c>
      <x:c r="J1216" s="137" t="str">
        <x:v>V0.7-CONTROLLED-RESEARCH-SCREEN-NOT-DISTRIBUTION</x:v>
      </x:c>
    </x:row>
    <x:row r="1217" ht="22" customHeight="1">
      <x:c r="A1217" s="136" t="str">
        <x:v>SCR-1212</x:v>
      </x:c>
      <x:c r="B1217" s="143" t="n">
        <x:v>0.000001464102564102564</x:v>
      </x:c>
      <x:c r="C1217" s="143" t="n">
        <x:v>0.009461538461538462</x:v>
      </x:c>
      <x:c r="D1217" s="161" t="n">
        <x:v>1</x:v>
      </x:c>
      <x:c r="E1217" s="163" t="n">
        <x:v>-3075.66357807909</x:v>
      </x:c>
      <x:c r="F1217" s="163" t="n">
        <x:v>0</x:v>
      </x:c>
      <x:c r="G1217" s="145" t="n">
        <x:v>0.03186837739632947</x:v>
      </x:c>
      <x:c r="H1217" s="145" t="n">
        <x:v>0.5</x:v>
      </x:c>
      <x:c r="I1217" s="136" t="str">
        <x:v>NONPOSITIVE-MODEL-MARGIN</x:v>
      </x:c>
      <x:c r="J1217" s="136" t="str">
        <x:v>V0.7-CONTROLLED-RESEARCH-SCREEN-NOT-DISTRIBUTION</x:v>
      </x:c>
    </x:row>
    <x:row r="1218" ht="22" customHeight="1">
      <x:c r="A1218" s="137" t="str">
        <x:v>SCR-1213</x:v>
      </x:c>
      <x:c r="B1218" s="142" t="n">
        <x:v>0.000001464102564102564</x:v>
      </x:c>
      <x:c r="C1218" s="142" t="n">
        <x:v>0.00976923076923077</x:v>
      </x:c>
      <x:c r="D1218" s="160" t="n">
        <x:v>1</x:v>
      </x:c>
      <x:c r="E1218" s="162" t="n">
        <x:v>-3092.849182676371</x:v>
      </x:c>
      <x:c r="F1218" s="162" t="n">
        <x:v>0</x:v>
      </x:c>
      <x:c r="G1218" s="144" t="n">
        <x:v>0.03216201611004134</x:v>
      </x:c>
      <x:c r="H1218" s="144" t="n">
        <x:v>0.5</x:v>
      </x:c>
      <x:c r="I1218" s="137" t="str">
        <x:v>NONPOSITIVE-MODEL-MARGIN</x:v>
      </x:c>
      <x:c r="J1218" s="137" t="str">
        <x:v>V0.7-CONTROLLED-RESEARCH-SCREEN-NOT-DISTRIBUTION</x:v>
      </x:c>
    </x:row>
    <x:row r="1219" ht="22" customHeight="1">
      <x:c r="A1219" s="136" t="str">
        <x:v>SCR-1214</x:v>
      </x:c>
      <x:c r="B1219" s="143" t="n">
        <x:v>0.000001464102564102564</x:v>
      </x:c>
      <x:c r="C1219" s="143" t="n">
        <x:v>0.010076923076923077</x:v>
      </x:c>
      <x:c r="D1219" s="161" t="n">
        <x:v>1</x:v>
      </x:c>
      <x:c r="E1219" s="163" t="n">
        <x:v>-3109.990091290565</x:v>
      </x:c>
      <x:c r="F1219" s="163" t="n">
        <x:v>0</x:v>
      </x:c>
      <x:c r="G1219" s="145" t="n">
        <x:v>0.0324556548237532</x:v>
      </x:c>
      <x:c r="H1219" s="145" t="n">
        <x:v>0.5</x:v>
      </x:c>
      <x:c r="I1219" s="136" t="str">
        <x:v>NONPOSITIVE-MODEL-MARGIN</x:v>
      </x:c>
      <x:c r="J1219" s="136" t="str">
        <x:v>V0.7-CONTROLLED-RESEARCH-SCREEN-NOT-DISTRIBUTION</x:v>
      </x:c>
    </x:row>
    <x:row r="1220" ht="22" customHeight="1">
      <x:c r="A1220" s="137" t="str">
        <x:v>SCR-1215</x:v>
      </x:c>
      <x:c r="B1220" s="142" t="n">
        <x:v>0.000001464102564102564</x:v>
      </x:c>
      <x:c r="C1220" s="142" t="n">
        <x:v>0.010384615384615384</x:v>
      </x:c>
      <x:c r="D1220" s="160" t="n">
        <x:v>1</x:v>
      </x:c>
      <x:c r="E1220" s="162" t="n">
        <x:v>-3127.0866259829277</x:v>
      </x:c>
      <x:c r="F1220" s="162" t="n">
        <x:v>0</x:v>
      </x:c>
      <x:c r="G1220" s="144" t="n">
        <x:v>0.03274929353746507</x:v>
      </x:c>
      <x:c r="H1220" s="144" t="n">
        <x:v>0.5</x:v>
      </x:c>
      <x:c r="I1220" s="137" t="str">
        <x:v>NONPOSITIVE-MODEL-MARGIN</x:v>
      </x:c>
      <x:c r="J1220" s="137" t="str">
        <x:v>V0.7-CONTROLLED-RESEARCH-SCREEN-NOT-DISTRIBUTION</x:v>
      </x:c>
    </x:row>
    <x:row r="1221" ht="22" customHeight="1">
      <x:c r="A1221" s="136" t="str">
        <x:v>SCR-1216</x:v>
      </x:c>
      <x:c r="B1221" s="143" t="n">
        <x:v>0.000001464102564102564</x:v>
      </x:c>
      <x:c r="C1221" s="143" t="n">
        <x:v>0.010692307692307692</x:v>
      </x:c>
      <x:c r="D1221" s="161" t="n">
        <x:v>1</x:v>
      </x:c>
      <x:c r="E1221" s="163" t="n">
        <x:v>-3144.1391041775887</x:v>
      </x:c>
      <x:c r="F1221" s="163" t="n">
        <x:v>0</x:v>
      </x:c>
      <x:c r="G1221" s="145" t="n">
        <x:v>0.033042932251176944</x:v>
      </x:c>
      <x:c r="H1221" s="145" t="n">
        <x:v>0.5</x:v>
      </x:c>
      <x:c r="I1221" s="136" t="str">
        <x:v>NONPOSITIVE-MODEL-MARGIN</x:v>
      </x:c>
      <x:c r="J1221" s="136" t="str">
        <x:v>V0.7-CONTROLLED-RESEARCH-SCREEN-NOT-DISTRIBUTION</x:v>
      </x:c>
    </x:row>
    <x:row r="1222" ht="22" customHeight="1">
      <x:c r="A1222" s="137" t="str">
        <x:v>SCR-1217</x:v>
      </x:c>
      <x:c r="B1222" s="142" t="n">
        <x:v>0.000001464102564102564</x:v>
      </x:c>
      <x:c r="C1222" s="142" t="n">
        <x:v>0.011</x:v>
      </x:c>
      <x:c r="D1222" s="160" t="n">
        <x:v>1</x:v>
      </x:c>
      <x:c r="E1222" s="162" t="n">
        <x:v>-3161.147838754787</x:v>
      </x:c>
      <x:c r="F1222" s="162" t="n">
        <x:v>0</x:v>
      </x:c>
      <x:c r="G1222" s="144" t="n">
        <x:v>0.033336570964888804</x:v>
      </x:c>
      <x:c r="H1222" s="144" t="n">
        <x:v>0.5</x:v>
      </x:c>
      <x:c r="I1222" s="137" t="str">
        <x:v>NONPOSITIVE-MODEL-MARGIN</x:v>
      </x:c>
      <x:c r="J1222" s="137" t="str">
        <x:v>V0.7-CONTROLLED-RESEARCH-SCREEN-NOT-DISTRIBUTION</x:v>
      </x:c>
    </x:row>
    <x:row r="1223" ht="22" customHeight="1">
      <x:c r="A1223" s="136" t="str">
        <x:v>SCR-1218</x:v>
      </x:c>
      <x:c r="B1223" s="143" t="n">
        <x:v>0.000001464102564102564</x:v>
      </x:c>
      <x:c r="C1223" s="143" t="n">
        <x:v>0.011307692307692307</x:v>
      </x:c>
      <x:c r="D1223" s="161" t="n">
        <x:v>1</x:v>
      </x:c>
      <x:c r="E1223" s="163" t="n">
        <x:v>-3178.1131381418904</x:v>
      </x:c>
      <x:c r="F1223" s="163" t="n">
        <x:v>0</x:v>
      </x:c>
      <x:c r="G1223" s="145" t="n">
        <x:v>0.03363020967860066</x:v>
      </x:c>
      <x:c r="H1223" s="145" t="n">
        <x:v>0.5</x:v>
      </x:c>
      <x:c r="I1223" s="136" t="str">
        <x:v>NONPOSITIVE-MODEL-MARGIN</x:v>
      </x:c>
      <x:c r="J1223" s="136" t="str">
        <x:v>V0.7-CONTROLLED-RESEARCH-SCREEN-NOT-DISTRIBUTION</x:v>
      </x:c>
    </x:row>
    <x:row r="1224" ht="22" customHeight="1">
      <x:c r="A1224" s="137" t="str">
        <x:v>SCR-1219</x:v>
      </x:c>
      <x:c r="B1224" s="142" t="n">
        <x:v>0.000001464102564102564</x:v>
      </x:c>
      <x:c r="C1224" s="142" t="n">
        <x:v>0.011615384615384614</x:v>
      </x:c>
      <x:c r="D1224" s="160" t="n">
        <x:v>1</x:v>
      </x:c>
      <x:c r="E1224" s="162" t="n">
        <x:v>-3195.035306402187</x:v>
      </x:c>
      <x:c r="F1224" s="162" t="n">
        <x:v>0</x:v>
      </x:c>
      <x:c r="G1224" s="144" t="n">
        <x:v>0.033923848392312536</x:v>
      </x:c>
      <x:c r="H1224" s="144" t="n">
        <x:v>0.5</x:v>
      </x:c>
      <x:c r="I1224" s="137" t="str">
        <x:v>NONPOSITIVE-MODEL-MARGIN</x:v>
      </x:c>
      <x:c r="J1224" s="137" t="str">
        <x:v>V0.7-CONTROLLED-RESEARCH-SCREEN-NOT-DISTRIBUTION</x:v>
      </x:c>
    </x:row>
    <x:row r="1225" ht="22" customHeight="1">
      <x:c r="A1225" s="136" t="str">
        <x:v>SCR-1220</x:v>
      </x:c>
      <x:c r="B1225" s="143" t="n">
        <x:v>0.000001464102564102564</x:v>
      </x:c>
      <x:c r="C1225" s="143" t="n">
        <x:v>0.011923076923076925</x:v>
      </x:c>
      <x:c r="D1225" s="161" t="n">
        <x:v>1</x:v>
      </x:c>
      <x:c r="E1225" s="163" t="n">
        <x:v>-3211.914643321627</x:v>
      </x:c>
      <x:c r="F1225" s="163" t="n">
        <x:v>0</x:v>
      </x:c>
      <x:c r="G1225" s="145" t="n">
        <x:v>0.0342174871060244</x:v>
      </x:c>
      <x:c r="H1225" s="145" t="n">
        <x:v>0.5</x:v>
      </x:c>
      <x:c r="I1225" s="136" t="str">
        <x:v>NONPOSITIVE-MODEL-MARGIN</x:v>
      </x:c>
      <x:c r="J1225" s="136" t="str">
        <x:v>V0.7-CONTROLLED-RESEARCH-SCREEN-NOT-DISTRIBUTION</x:v>
      </x:c>
    </x:row>
    <x:row r="1226" ht="22" customHeight="1">
      <x:c r="A1226" s="137" t="str">
        <x:v>SCR-1221</x:v>
      </x:c>
      <x:c r="B1226" s="142" t="n">
        <x:v>0.000001464102564102564</x:v>
      </x:c>
      <x:c r="C1226" s="142" t="n">
        <x:v>0.012230769230769233</x:v>
      </x:c>
      <x:c r="D1226" s="160" t="n">
        <x:v>1</x:v>
      </x:c>
      <x:c r="E1226" s="162" t="n">
        <x:v>-3228.7514444934295</x:v>
      </x:c>
      <x:c r="F1226" s="162" t="n">
        <x:v>0</x:v>
      </x:c>
      <x:c r="G1226" s="144" t="n">
        <x:v>0.034511125819736276</x:v>
      </x:c>
      <x:c r="H1226" s="144" t="n">
        <x:v>0.5</x:v>
      </x:c>
      <x:c r="I1226" s="137" t="str">
        <x:v>NONPOSITIVE-MODEL-MARGIN</x:v>
      </x:c>
      <x:c r="J1226" s="137" t="str">
        <x:v>V0.7-CONTROLLED-RESEARCH-SCREEN-NOT-DISTRIBUTION</x:v>
      </x:c>
    </x:row>
    <x:row r="1227" ht="22" customHeight="1">
      <x:c r="A1227" s="136" t="str">
        <x:v>SCR-1222</x:v>
      </x:c>
      <x:c r="B1227" s="143" t="n">
        <x:v>0.000001464102564102564</x:v>
      </x:c>
      <x:c r="C1227" s="143" t="n">
        <x:v>0.01253846153846154</x:v>
      </x:c>
      <x:c r="D1227" s="161" t="n">
        <x:v>1</x:v>
      </x:c>
      <x:c r="E1227" s="163" t="n">
        <x:v>-3245.546001400702</x:v>
      </x:c>
      <x:c r="F1227" s="163" t="n">
        <x:v>0</x:v>
      </x:c>
      <x:c r="G1227" s="145" t="n">
        <x:v>0.034804764533448135</x:v>
      </x:c>
      <x:c r="H1227" s="145" t="n">
        <x:v>0.5</x:v>
      </x:c>
      <x:c r="I1227" s="136" t="str">
        <x:v>NONPOSITIVE-MODEL-MARGIN</x:v>
      </x:c>
      <x:c r="J1227" s="136" t="str">
        <x:v>V0.7-CONTROLLED-RESEARCH-SCREEN-NOT-DISTRIBUTION</x:v>
      </x:c>
    </x:row>
    <x:row r="1228" ht="22" customHeight="1">
      <x:c r="A1228" s="137" t="str">
        <x:v>SCR-1223</x:v>
      </x:c>
      <x:c r="B1228" s="142" t="n">
        <x:v>0.000001464102564102564</x:v>
      </x:c>
      <x:c r="C1228" s="142" t="n">
        <x:v>0.012846153846153847</x:v>
      </x:c>
      <x:c r="D1228" s="160" t="n">
        <x:v>1</x:v>
      </x:c>
      <x:c r="E1228" s="162" t="n">
        <x:v>-3262.2986014971125</x:v>
      </x:c>
      <x:c r="F1228" s="162" t="n">
        <x:v>0</x:v>
      </x:c>
      <x:c r="G1228" s="144" t="n">
        <x:v>0.035098403247159994</x:v>
      </x:c>
      <x:c r="H1228" s="144" t="n">
        <x:v>0.5</x:v>
      </x:c>
      <x:c r="I1228" s="137" t="str">
        <x:v>NONPOSITIVE-MODEL-MARGIN</x:v>
      </x:c>
      <x:c r="J1228" s="137" t="str">
        <x:v>V0.7-CONTROLLED-RESEARCH-SCREEN-NOT-DISTRIBUTION</x:v>
      </x:c>
    </x:row>
    <x:row r="1229" ht="22" customHeight="1">
      <x:c r="A1229" s="136" t="str">
        <x:v>SCR-1224</x:v>
      </x:c>
      <x:c r="B1229" s="143" t="n">
        <x:v>0.000001464102564102564</x:v>
      </x:c>
      <x:c r="C1229" s="143" t="n">
        <x:v>0.013153846153846155</x:v>
      </x:c>
      <x:c r="D1229" s="161" t="n">
        <x:v>1</x:v>
      </x:c>
      <x:c r="E1229" s="163" t="n">
        <x:v>-3279.0095282855655</x:v>
      </x:c>
      <x:c r="F1229" s="163" t="n">
        <x:v>0</x:v>
      </x:c>
      <x:c r="G1229" s="145" t="n">
        <x:v>0.03539204196087187</x:v>
      </x:c>
      <x:c r="H1229" s="145" t="n">
        <x:v>0.5</x:v>
      </x:c>
      <x:c r="I1229" s="136" t="str">
        <x:v>NONPOSITIVE-MODEL-MARGIN</x:v>
      </x:c>
      <x:c r="J1229" s="136" t="str">
        <x:v>V0.7-CONTROLLED-RESEARCH-SCREEN-NOT-DISTRIBUTION</x:v>
      </x:c>
    </x:row>
    <x:row r="1230" ht="22" customHeight="1">
      <x:c r="A1230" s="137" t="str">
        <x:v>SCR-1225</x:v>
      </x:c>
      <x:c r="B1230" s="142" t="n">
        <x:v>0.000001464102564102564</x:v>
      </x:c>
      <x:c r="C1230" s="142" t="n">
        <x:v>0.013461538461538462</x:v>
      </x:c>
      <x:c r="D1230" s="160" t="n">
        <x:v>1</x:v>
      </x:c>
      <x:c r="E1230" s="162" t="n">
        <x:v>-3295.6790613950807</x:v>
      </x:c>
      <x:c r="F1230" s="162" t="n">
        <x:v>0</x:v>
      </x:c>
      <x:c r="G1230" s="144" t="n">
        <x:v>0.03568568067458373</x:v>
      </x:c>
      <x:c r="H1230" s="144" t="n">
        <x:v>0.5</x:v>
      </x:c>
      <x:c r="I1230" s="137" t="str">
        <x:v>NONPOSITIVE-MODEL-MARGIN</x:v>
      </x:c>
      <x:c r="J1230" s="137" t="str">
        <x:v>V0.7-CONTROLLED-RESEARCH-SCREEN-NOT-DISTRIBUTION</x:v>
      </x:c>
    </x:row>
    <x:row r="1231" ht="22" customHeight="1">
      <x:c r="A1231" s="136" t="str">
        <x:v>SCR-1226</x:v>
      </x:c>
      <x:c r="B1231" s="143" t="n">
        <x:v>0.000001464102564102564</x:v>
      </x:c>
      <x:c r="C1231" s="143" t="n">
        <x:v>0.01376923076923077</x:v>
      </x:c>
      <x:c r="D1231" s="161" t="n">
        <x:v>1</x:v>
      </x:c>
      <x:c r="E1231" s="163" t="n">
        <x:v>-3312.3074766558007</x:v>
      </x:c>
      <x:c r="F1231" s="163" t="n">
        <x:v>0</x:v>
      </x:c>
      <x:c r="G1231" s="145" t="n">
        <x:v>0.03597931938829559</x:v>
      </x:c>
      <x:c r="H1231" s="145" t="n">
        <x:v>0.5</x:v>
      </x:c>
      <x:c r="I1231" s="136" t="str">
        <x:v>NONPOSITIVE-MODEL-MARGIN</x:v>
      </x:c>
      <x:c r="J1231" s="136" t="str">
        <x:v>V0.7-CONTROLLED-RESEARCH-SCREEN-NOT-DISTRIBUTION</x:v>
      </x:c>
    </x:row>
    <x:row r="1232" ht="22" customHeight="1">
      <x:c r="A1232" s="137" t="str">
        <x:v>SCR-1227</x:v>
      </x:c>
      <x:c r="B1232" s="142" t="n">
        <x:v>0.000001464102564102564</x:v>
      </x:c>
      <x:c r="C1232" s="142" t="n">
        <x:v>0.014076923076923077</x:v>
      </x:c>
      <x:c r="D1232" s="160" t="n">
        <x:v>1</x:v>
      </x:c>
      <x:c r="E1232" s="162" t="n">
        <x:v>-3328.895046172214</x:v>
      </x:c>
      <x:c r="F1232" s="162" t="n">
        <x:v>0</x:v>
      </x:c>
      <x:c r="G1232" s="144" t="n">
        <x:v>0.036272958102007466</x:v>
      </x:c>
      <x:c r="H1232" s="144" t="n">
        <x:v>0.5</x:v>
      </x:c>
      <x:c r="I1232" s="137" t="str">
        <x:v>NONPOSITIVE-MODEL-MARGIN</x:v>
      </x:c>
      <x:c r="J1232" s="137" t="str">
        <x:v>V0.7-CONTROLLED-RESEARCH-SCREEN-NOT-DISTRIBUTION</x:v>
      </x:c>
    </x:row>
    <x:row r="1233" ht="22" customHeight="1">
      <x:c r="A1233" s="136" t="str">
        <x:v>SCR-1228</x:v>
      </x:c>
      <x:c r="B1233" s="143" t="n">
        <x:v>0.000001464102564102564</x:v>
      </x:c>
      <x:c r="C1233" s="143" t="n">
        <x:v>0.014384615384615385</x:v>
      </x:c>
      <x:c r="D1233" s="161" t="n">
        <x:v>1</x:v>
      </x:c>
      <x:c r="E1233" s="163" t="n">
        <x:v>-3345.4420383946613</x:v>
      </x:c>
      <x:c r="F1233" s="163" t="n">
        <x:v>0</x:v>
      </x:c>
      <x:c r="G1233" s="145" t="n">
        <x:v>0.036566596815719325</x:v>
      </x:c>
      <x:c r="H1233" s="145" t="n">
        <x:v>0.5</x:v>
      </x:c>
      <x:c r="I1233" s="136" t="str">
        <x:v>NONPOSITIVE-MODEL-MARGIN</x:v>
      </x:c>
      <x:c r="J1233" s="136" t="str">
        <x:v>V0.7-CONTROLLED-RESEARCH-SCREEN-NOT-DISTRIBUTION</x:v>
      </x:c>
    </x:row>
    <x:row r="1234" ht="22" customHeight="1">
      <x:c r="A1234" s="137" t="str">
        <x:v>SCR-1229</x:v>
      </x:c>
      <x:c r="B1234" s="142" t="n">
        <x:v>0.000001464102564102564</x:v>
      </x:c>
      <x:c r="C1234" s="142" t="n">
        <x:v>0.014692307692307692</x:v>
      </x:c>
      <x:c r="D1234" s="160" t="n">
        <x:v>1</x:v>
      </x:c>
      <x:c r="E1234" s="162" t="n">
        <x:v>-3361.948718189147</x:v>
      </x:c>
      <x:c r="F1234" s="162" t="n">
        <x:v>0</x:v>
      </x:c>
      <x:c r="G1234" s="144" t="n">
        <x:v>0.03686023552943119</x:v>
      </x:c>
      <x:c r="H1234" s="144" t="n">
        <x:v>0.5</x:v>
      </x:c>
      <x:c r="I1234" s="137" t="str">
        <x:v>NONPOSITIVE-MODEL-MARGIN</x:v>
      </x:c>
      <x:c r="J1234" s="137" t="str">
        <x:v>V0.7-CONTROLLED-RESEARCH-SCREEN-NOT-DISTRIBUTION</x:v>
      </x:c>
    </x:row>
    <x:row r="1235" ht="22" customHeight="1">
      <x:c r="A1235" s="136" t="str">
        <x:v>SCR-1230</x:v>
      </x:c>
      <x:c r="B1235" s="143" t="n">
        <x:v>0.000001464102564102564</x:v>
      </x:c>
      <x:c r="C1235" s="143" t="n">
        <x:v>0.015</x:v>
      </x:c>
      <x:c r="D1235" s="161" t="n">
        <x:v>1</x:v>
      </x:c>
      <x:c r="E1235" s="163" t="n">
        <x:v>-3378.415346905496</x:v>
      </x:c>
      <x:c r="F1235" s="163" t="n">
        <x:v>0</x:v>
      </x:c>
      <x:c r="G1235" s="145" t="n">
        <x:v>0.037153874243143065</x:v>
      </x:c>
      <x:c r="H1235" s="145" t="n">
        <x:v>0.5</x:v>
      </x:c>
      <x:c r="I1235" s="136" t="str">
        <x:v>NONPOSITIVE-MODEL-MARGIN</x:v>
      </x:c>
      <x:c r="J1235" s="136" t="str">
        <x:v>V0.7-CONTROLLED-RESEARCH-SCREEN-NOT-DISTRIBUTION</x:v>
      </x:c>
    </x:row>
    <x:row r="1236" ht="22" customHeight="1">
      <x:c r="A1236" s="137" t="str">
        <x:v>SCR-1231</x:v>
      </x:c>
      <x:c r="B1236" s="142" t="n">
        <x:v>0.0000015128205128205128</x:v>
      </x:c>
      <x:c r="C1236" s="142" t="n">
        <x:v>0.003</x:v>
      </x:c>
      <x:c r="D1236" s="160" t="n">
        <x:v>1</x:v>
      </x:c>
      <x:c r="E1236" s="162" t="n">
        <x:v>-2750.0525522633584</x:v>
      </x:c>
      <x:c r="F1236" s="162" t="n">
        <x:v>0</x:v>
      </x:c>
      <x:c r="G1236" s="144" t="n">
        <x:v>0.026406742661442786</x:v>
      </x:c>
      <x:c r="H1236" s="144" t="n">
        <x:v>0.5</x:v>
      </x:c>
      <x:c r="I1236" s="137" t="str">
        <x:v>NONPOSITIVE-MODEL-MARGIN</x:v>
      </x:c>
      <x:c r="J1236" s="137" t="str">
        <x:v>V0.7-CONTROLLED-RESEARCH-SCREEN-NOT-DISTRIBUTION</x:v>
      </x:c>
    </x:row>
    <x:row r="1237" ht="22" customHeight="1">
      <x:c r="A1237" s="136" t="str">
        <x:v>SCR-1232</x:v>
      </x:c>
      <x:c r="B1237" s="143" t="n">
        <x:v>0.0000015128205128205128</x:v>
      </x:c>
      <x:c r="C1237" s="143" t="n">
        <x:v>0.003307692307692308</x:v>
      </x:c>
      <x:c r="D1237" s="161" t="n">
        <x:v>1</x:v>
      </x:c>
      <x:c r="E1237" s="163" t="n">
        <x:v>-2768.1383336709837</x:v>
      </x:c>
      <x:c r="F1237" s="163" t="n">
        <x:v>0</x:v>
      </x:c>
      <x:c r="G1237" s="145" t="n">
        <x:v>0.02669994507495005</x:v>
      </x:c>
      <x:c r="H1237" s="145" t="n">
        <x:v>0.5</x:v>
      </x:c>
      <x:c r="I1237" s="136" t="str">
        <x:v>NONPOSITIVE-MODEL-MARGIN</x:v>
      </x:c>
      <x:c r="J1237" s="136" t="str">
        <x:v>V0.7-CONTROLLED-RESEARCH-SCREEN-NOT-DISTRIBUTION</x:v>
      </x:c>
    </x:row>
    <x:row r="1238" ht="22" customHeight="1">
      <x:c r="A1238" s="137" t="str">
        <x:v>SCR-1233</x:v>
      </x:c>
      <x:c r="B1238" s="142" t="n">
        <x:v>0.0000015128205128205128</x:v>
      </x:c>
      <x:c r="C1238" s="142" t="n">
        <x:v>0.0036153846153846154</x:v>
      </x:c>
      <x:c r="D1238" s="160" t="n">
        <x:v>1</x:v>
      </x:c>
      <x:c r="E1238" s="162" t="n">
        <x:v>-2786.1724883662</x:v>
      </x:c>
      <x:c r="F1238" s="162" t="n">
        <x:v>0</x:v>
      </x:c>
      <x:c r="G1238" s="144" t="n">
        <x:v>0.026993147488457308</x:v>
      </x:c>
      <x:c r="H1238" s="144" t="n">
        <x:v>0.5</x:v>
      </x:c>
      <x:c r="I1238" s="137" t="str">
        <x:v>NONPOSITIVE-MODEL-MARGIN</x:v>
      </x:c>
      <x:c r="J1238" s="137" t="str">
        <x:v>V0.7-CONTROLLED-RESEARCH-SCREEN-NOT-DISTRIBUTION</x:v>
      </x:c>
    </x:row>
    <x:row r="1239" ht="22" customHeight="1">
      <x:c r="A1239" s="136" t="str">
        <x:v>SCR-1234</x:v>
      </x:c>
      <x:c r="B1239" s="143" t="n">
        <x:v>0.0000015128205128205128</x:v>
      </x:c>
      <x:c r="C1239" s="143" t="n">
        <x:v>0.003923076923076923</x:v>
      </x:c>
      <x:c r="D1239" s="161" t="n">
        <x:v>1</x:v>
      </x:c>
      <x:c r="E1239" s="163" t="n">
        <x:v>-2804.1554443297437</x:v>
      </x:c>
      <x:c r="F1239" s="163" t="n">
        <x:v>0</x:v>
      </x:c>
      <x:c r="G1239" s="145" t="n">
        <x:v>0.02728634990196457</x:v>
      </x:c>
      <x:c r="H1239" s="145" t="n">
        <x:v>0.5</x:v>
      </x:c>
      <x:c r="I1239" s="136" t="str">
        <x:v>NONPOSITIVE-MODEL-MARGIN</x:v>
      </x:c>
      <x:c r="J1239" s="136" t="str">
        <x:v>V0.7-CONTROLLED-RESEARCH-SCREEN-NOT-DISTRIBUTION</x:v>
      </x:c>
    </x:row>
    <x:row r="1240" ht="22" customHeight="1">
      <x:c r="A1240" s="137" t="str">
        <x:v>SCR-1235</x:v>
      </x:c>
      <x:c r="B1240" s="142" t="n">
        <x:v>0.0000015128205128205128</x:v>
      </x:c>
      <x:c r="C1240" s="142" t="n">
        <x:v>0.004230769230769231</x:v>
      </x:c>
      <x:c r="D1240" s="160" t="n">
        <x:v>1</x:v>
      </x:c>
      <x:c r="E1240" s="162" t="n">
        <x:v>-2822.0876227109948</x:v>
      </x:c>
      <x:c r="F1240" s="162" t="n">
        <x:v>0</x:v>
      </x:c>
      <x:c r="G1240" s="144" t="n">
        <x:v>0.027579552315471826</x:v>
      </x:c>
      <x:c r="H1240" s="144" t="n">
        <x:v>0.5</x:v>
      </x:c>
      <x:c r="I1240" s="137" t="str">
        <x:v>NONPOSITIVE-MODEL-MARGIN</x:v>
      </x:c>
      <x:c r="J1240" s="137" t="str">
        <x:v>V0.7-CONTROLLED-RESEARCH-SCREEN-NOT-DISTRIBUTION</x:v>
      </x:c>
    </x:row>
    <x:row r="1241" ht="22" customHeight="1">
      <x:c r="A1241" s="136" t="str">
        <x:v>SCR-1236</x:v>
      </x:c>
      <x:c r="B1241" s="143" t="n">
        <x:v>0.0000015128205128205128</x:v>
      </x:c>
      <x:c r="C1241" s="143" t="n">
        <x:v>0.004538461538461538</x:v>
      </x:c>
      <x:c r="D1241" s="161" t="n">
        <x:v>1</x:v>
      </x:c>
      <x:c r="E1241" s="163" t="n">
        <x:v>-2839.9694379707585</x:v>
      </x:c>
      <x:c r="F1241" s="163" t="n">
        <x:v>0</x:v>
      </x:c>
      <x:c r="G1241" s="145" t="n">
        <x:v>0.02787275472897909</x:v>
      </x:c>
      <x:c r="H1241" s="145" t="n">
        <x:v>0.5</x:v>
      </x:c>
      <x:c r="I1241" s="136" t="str">
        <x:v>NONPOSITIVE-MODEL-MARGIN</x:v>
      </x:c>
      <x:c r="J1241" s="136" t="str">
        <x:v>V0.7-CONTROLLED-RESEARCH-SCREEN-NOT-DISTRIBUTION</x:v>
      </x:c>
    </x:row>
    <x:row r="1242" ht="22" customHeight="1">
      <x:c r="A1242" s="137" t="str">
        <x:v>SCR-1237</x:v>
      </x:c>
      <x:c r="B1242" s="142" t="n">
        <x:v>0.0000015128205128205128</x:v>
      </x:c>
      <x:c r="C1242" s="142" t="n">
        <x:v>0.004846153846153846</x:v>
      </x:c>
      <x:c r="D1242" s="160" t="n">
        <x:v>1</x:v>
      </x:c>
      <x:c r="E1242" s="162" t="n">
        <x:v>-2857.801298021082</x:v>
      </x:c>
      <x:c r="F1242" s="162" t="n">
        <x:v>0</x:v>
      </x:c>
      <x:c r="G1242" s="144" t="n">
        <x:v>0.028165957142486348</x:v>
      </x:c>
      <x:c r="H1242" s="144" t="n">
        <x:v>0.5</x:v>
      </x:c>
      <x:c r="I1242" s="137" t="str">
        <x:v>NONPOSITIVE-MODEL-MARGIN</x:v>
      </x:c>
      <x:c r="J1242" s="137" t="str">
        <x:v>V0.7-CONTROLLED-RESEARCH-SCREEN-NOT-DISTRIBUTION</x:v>
      </x:c>
    </x:row>
    <x:row r="1243" ht="22" customHeight="1">
      <x:c r="A1243" s="136" t="str">
        <x:v>SCR-1238</x:v>
      </x:c>
      <x:c r="B1243" s="143" t="n">
        <x:v>0.0000015128205128205128</x:v>
      </x:c>
      <x:c r="C1243" s="143" t="n">
        <x:v>0.005</x:v>
      </x:c>
      <x:c r="D1243" s="161" t="n">
        <x:v>1</x:v>
      </x:c>
      <x:c r="E1243" s="163" t="n">
        <x:v>-2866.698620558332</x:v>
      </x:c>
      <x:c r="F1243" s="163" t="n">
        <x:v>0</x:v>
      </x:c>
      <x:c r="G1243" s="145" t="n">
        <x:v>0.028312558349239975</x:v>
      </x:c>
      <x:c r="H1243" s="145" t="n">
        <x:v>0.5</x:v>
      </x:c>
      <x:c r="I1243" s="136" t="str">
        <x:v>NONPOSITIVE-MODEL-MARGIN</x:v>
      </x:c>
      <x:c r="J1243" s="136" t="str">
        <x:v>V0.7-CONTROLLED-RESEARCH-SCREEN-NOT-DISTRIBUTION</x:v>
      </x:c>
    </x:row>
    <x:row r="1244" ht="22" customHeight="1">
      <x:c r="A1244" s="137" t="str">
        <x:v>SCR-1239</x:v>
      </x:c>
      <x:c r="B1244" s="142" t="n">
        <x:v>0.0000015128205128205128</x:v>
      </x:c>
      <x:c r="C1244" s="142" t="n">
        <x:v>0.005153846153846154</x:v>
      </x:c>
      <x:c r="D1244" s="160" t="n">
        <x:v>1</x:v>
      </x:c>
      <x:c r="E1244" s="162" t="n">
        <x:v>-2875.583604362292</x:v>
      </x:c>
      <x:c r="F1244" s="162" t="n">
        <x:v>0</x:v>
      </x:c>
      <x:c r="G1244" s="144" t="n">
        <x:v>0.028459159555993603</x:v>
      </x:c>
      <x:c r="H1244" s="144" t="n">
        <x:v>0.5</x:v>
      </x:c>
      <x:c r="I1244" s="137" t="str">
        <x:v>NONPOSITIVE-MODEL-MARGIN</x:v>
      </x:c>
      <x:c r="J1244" s="137" t="str">
        <x:v>V0.7-CONTROLLED-RESEARCH-SCREEN-NOT-DISTRIBUTION</x:v>
      </x:c>
    </x:row>
    <x:row r="1245" ht="22" customHeight="1">
      <x:c r="A1245" s="136" t="str">
        <x:v>SCR-1240</x:v>
      </x:c>
      <x:c r="B1245" s="143" t="n">
        <x:v>0.0000015128205128205128</x:v>
      </x:c>
      <x:c r="C1245" s="143" t="n">
        <x:v>0.005461538461538462</x:v>
      </x:c>
      <x:c r="D1245" s="161" t="n">
        <x:v>1</x:v>
      </x:c>
      <x:c r="E1245" s="163" t="n">
        <x:v>-2893.316752217033</x:v>
      </x:c>
      <x:c r="F1245" s="163" t="n">
        <x:v>0</x:v>
      </x:c>
      <x:c r="G1245" s="145" t="n">
        <x:v>0.028752361969500873</x:v>
      </x:c>
      <x:c r="H1245" s="145" t="n">
        <x:v>0.5</x:v>
      </x:c>
      <x:c r="I1245" s="136" t="str">
        <x:v>NONPOSITIVE-MODEL-MARGIN</x:v>
      </x:c>
      <x:c r="J1245" s="136" t="str">
        <x:v>V0.7-CONTROLLED-RESEARCH-SCREEN-NOT-DISTRIBUTION</x:v>
      </x:c>
    </x:row>
    <x:row r="1246" ht="22" customHeight="1">
      <x:c r="A1246" s="137" t="str">
        <x:v>SCR-1241</x:v>
      </x:c>
      <x:c r="B1246" s="142" t="n">
        <x:v>0.0000015128205128205128</x:v>
      </x:c>
      <x:c r="C1246" s="142" t="n">
        <x:v>0.0057692307692307696</x:v>
      </x:c>
      <x:c r="D1246" s="160" t="n">
        <x:v>1</x:v>
      </x:c>
      <x:c r="E1246" s="162" t="n">
        <x:v>-2911.001130661519</x:v>
      </x:c>
      <x:c r="F1246" s="162" t="n">
        <x:v>0</x:v>
      </x:c>
      <x:c r="G1246" s="144" t="n">
        <x:v>0.029045564383008128</x:v>
      </x:c>
      <x:c r="H1246" s="144" t="n">
        <x:v>0.5</x:v>
      </x:c>
      <x:c r="I1246" s="137" t="str">
        <x:v>NONPOSITIVE-MODEL-MARGIN</x:v>
      </x:c>
      <x:c r="J1246" s="137" t="str">
        <x:v>V0.7-CONTROLLED-RESEARCH-SCREEN-NOT-DISTRIBUTION</x:v>
      </x:c>
    </x:row>
    <x:row r="1247" ht="22" customHeight="1">
      <x:c r="A1247" s="136" t="str">
        <x:v>SCR-1242</x:v>
      </x:c>
      <x:c r="B1247" s="143" t="n">
        <x:v>0.0000015128205128205128</x:v>
      </x:c>
      <x:c r="C1247" s="143" t="n">
        <x:v>0.006076923076923077</x:v>
      </x:c>
      <x:c r="D1247" s="161" t="n">
        <x:v>1</x:v>
      </x:c>
      <x:c r="E1247" s="163" t="n">
        <x:v>-2928.637122753844</x:v>
      </x:c>
      <x:c r="F1247" s="163" t="n">
        <x:v>0</x:v>
      </x:c>
      <x:c r="G1247" s="145" t="n">
        <x:v>0.02933876679651538</x:v>
      </x:c>
      <x:c r="H1247" s="145" t="n">
        <x:v>0.5</x:v>
      </x:c>
      <x:c r="I1247" s="136" t="str">
        <x:v>NONPOSITIVE-MODEL-MARGIN</x:v>
      </x:c>
      <x:c r="J1247" s="136" t="str">
        <x:v>V0.7-CONTROLLED-RESEARCH-SCREEN-NOT-DISTRIBUTION</x:v>
      </x:c>
    </x:row>
    <x:row r="1248" ht="22" customHeight="1">
      <x:c r="A1248" s="137" t="str">
        <x:v>SCR-1243</x:v>
      </x:c>
      <x:c r="B1248" s="142" t="n">
        <x:v>0.0000015128205128205128</x:v>
      </x:c>
      <x:c r="C1248" s="142" t="n">
        <x:v>0.006384615384615384</x:v>
      </x:c>
      <x:c r="D1248" s="160" t="n">
        <x:v>1</x:v>
      </x:c>
      <x:c r="E1248" s="162" t="n">
        <x:v>-2946.225105659486</x:v>
      </x:c>
      <x:c r="F1248" s="162" t="n">
        <x:v>0</x:v>
      </x:c>
      <x:c r="G1248" s="144" t="n">
        <x:v>0.029631969210022646</x:v>
      </x:c>
      <x:c r="H1248" s="144" t="n">
        <x:v>0.5</x:v>
      </x:c>
      <x:c r="I1248" s="137" t="str">
        <x:v>NONPOSITIVE-MODEL-MARGIN</x:v>
      </x:c>
      <x:c r="J1248" s="137" t="str">
        <x:v>V0.7-CONTROLLED-RESEARCH-SCREEN-NOT-DISTRIBUTION</x:v>
      </x:c>
    </x:row>
    <x:row r="1249" ht="22" customHeight="1">
      <x:c r="A1249" s="136" t="str">
        <x:v>SCR-1244</x:v>
      </x:c>
      <x:c r="B1249" s="143" t="n">
        <x:v>0.0000015128205128205128</x:v>
      </x:c>
      <x:c r="C1249" s="143" t="n">
        <x:v>0.006692307692307693</x:v>
      </x:c>
      <x:c r="D1249" s="161" t="n">
        <x:v>1</x:v>
      </x:c>
      <x:c r="E1249" s="163" t="n">
        <x:v>-2963.765450774014</x:v>
      </x:c>
      <x:c r="F1249" s="163" t="n">
        <x:v>0</x:v>
      </x:c>
      <x:c r="G1249" s="145" t="n">
        <x:v>0.029925171623529916</x:v>
      </x:c>
      <x:c r="H1249" s="145" t="n">
        <x:v>0.5</x:v>
      </x:c>
      <x:c r="I1249" s="136" t="str">
        <x:v>NONPOSITIVE-MODEL-MARGIN</x:v>
      </x:c>
      <x:c r="J1249" s="136" t="str">
        <x:v>V0.7-CONTROLLED-RESEARCH-SCREEN-NOT-DISTRIBUTION</x:v>
      </x:c>
    </x:row>
    <x:row r="1250" ht="22" customHeight="1">
      <x:c r="A1250" s="137" t="str">
        <x:v>SCR-1245</x:v>
      </x:c>
      <x:c r="B1250" s="142" t="n">
        <x:v>0.0000015128205128205128</x:v>
      </x:c>
      <x:c r="C1250" s="142" t="n">
        <x:v>0.007</x:v>
      </x:c>
      <x:c r="D1250" s="160" t="n">
        <x:v>1</x:v>
      </x:c>
      <x:c r="E1250" s="162" t="n">
        <x:v>-2981.258523842944</x:v>
      </x:c>
      <x:c r="F1250" s="162" t="n">
        <x:v>0</x:v>
      </x:c>
      <x:c r="G1250" s="144" t="n">
        <x:v>0.030218374037037168</x:v>
      </x:c>
      <x:c r="H1250" s="144" t="n">
        <x:v>0.5</x:v>
      </x:c>
      <x:c r="I1250" s="137" t="str">
        <x:v>NONPOSITIVE-MODEL-MARGIN</x:v>
      </x:c>
      <x:c r="J1250" s="137" t="str">
        <x:v>V0.7-CONTROLLED-RESEARCH-SCREEN-NOT-DISTRIBUTION</x:v>
      </x:c>
    </x:row>
    <x:row r="1251" ht="22" customHeight="1">
      <x:c r="A1251" s="136" t="str">
        <x:v>SCR-1246</x:v>
      </x:c>
      <x:c r="B1251" s="143" t="n">
        <x:v>0.0000015128205128205128</x:v>
      </x:c>
      <x:c r="C1251" s="143" t="n">
        <x:v>0.007307692307692308</x:v>
      </x:c>
      <x:c r="D1251" s="161" t="n">
        <x:v>1</x:v>
      </x:c>
      <x:c r="E1251" s="163" t="n">
        <x:v>-2998.70468507895</x:v>
      </x:c>
      <x:c r="F1251" s="163" t="n">
        <x:v>0</x:v>
      </x:c>
      <x:c r="G1251" s="145" t="n">
        <x:v>0.030511576450544423</x:v>
      </x:c>
      <x:c r="H1251" s="145" t="n">
        <x:v>0.5</x:v>
      </x:c>
      <x:c r="I1251" s="136" t="str">
        <x:v>NONPOSITIVE-MODEL-MARGIN</x:v>
      </x:c>
      <x:c r="J1251" s="136" t="str">
        <x:v>V0.7-CONTROLLED-RESEARCH-SCREEN-NOT-DISTRIBUTION</x:v>
      </x:c>
    </x:row>
    <x:row r="1252" ht="22" customHeight="1">
      <x:c r="A1252" s="137" t="str">
        <x:v>SCR-1247</x:v>
      </x:c>
      <x:c r="B1252" s="142" t="n">
        <x:v>0.0000015128205128205128</x:v>
      </x:c>
      <x:c r="C1252" s="142" t="n">
        <x:v>0.007615384615384616</x:v>
      </x:c>
      <x:c r="D1252" s="160" t="n">
        <x:v>1</x:v>
      </x:c>
      <x:c r="E1252" s="162" t="n">
        <x:v>-3016.104289276293</x:v>
      </x:c>
      <x:c r="F1252" s="162" t="n">
        <x:v>0</x:v>
      </x:c>
      <x:c r="G1252" s="144" t="n">
        <x:v>0.030804778864051693</x:v>
      </x:c>
      <x:c r="H1252" s="144" t="n">
        <x:v>0.5</x:v>
      </x:c>
      <x:c r="I1252" s="137" t="str">
        <x:v>NONPOSITIVE-MODEL-MARGIN</x:v>
      </x:c>
      <x:c r="J1252" s="137" t="str">
        <x:v>V0.7-CONTROLLED-RESEARCH-SCREEN-NOT-DISTRIBUTION</x:v>
      </x:c>
    </x:row>
    <x:row r="1253" ht="22" customHeight="1">
      <x:c r="A1253" s="136" t="str">
        <x:v>SCR-1248</x:v>
      </x:c>
      <x:c r="B1253" s="143" t="n">
        <x:v>0.0000015128205128205128</x:v>
      </x:c>
      <x:c r="C1253" s="143" t="n">
        <x:v>0.007923076923076923</x:v>
      </x:c>
      <x:c r="D1253" s="161" t="n">
        <x:v>1</x:v>
      </x:c>
      <x:c r="E1253" s="163" t="n">
        <x:v>-3033.457685922587</x:v>
      </x:c>
      <x:c r="F1253" s="163" t="n">
        <x:v>0</x:v>
      </x:c>
      <x:c r="G1253" s="145" t="n">
        <x:v>0.03109798127755895</x:v>
      </x:c>
      <x:c r="H1253" s="145" t="n">
        <x:v>0.5</x:v>
      </x:c>
      <x:c r="I1253" s="136" t="str">
        <x:v>NONPOSITIVE-MODEL-MARGIN</x:v>
      </x:c>
      <x:c r="J1253" s="136" t="str">
        <x:v>V0.7-CONTROLLED-RESEARCH-SCREEN-NOT-DISTRIBUTION</x:v>
      </x:c>
    </x:row>
    <x:row r="1254" ht="22" customHeight="1">
      <x:c r="A1254" s="137" t="str">
        <x:v>SCR-1249</x:v>
      </x:c>
      <x:c r="B1254" s="142" t="n">
        <x:v>0.0000015128205128205128</x:v>
      </x:c>
      <x:c r="C1254" s="142" t="n">
        <x:v>0.00823076923076923</x:v>
      </x:c>
      <x:c r="D1254" s="160" t="n">
        <x:v>1</x:v>
      </x:c>
      <x:c r="E1254" s="162" t="n">
        <x:v>-3050.7652193080553</x:v>
      </x:c>
      <x:c r="F1254" s="162" t="n">
        <x:v>0</x:v>
      </x:c>
      <x:c r="G1254" s="144" t="n">
        <x:v>0.031391183691066214</x:v>
      </x:c>
      <x:c r="H1254" s="144" t="n">
        <x:v>0.5</x:v>
      </x:c>
      <x:c r="I1254" s="137" t="str">
        <x:v>NONPOSITIVE-MODEL-MARGIN</x:v>
      </x:c>
      <x:c r="J1254" s="137" t="str">
        <x:v>V0.7-CONTROLLED-RESEARCH-SCREEN-NOT-DISTRIBUTION</x:v>
      </x:c>
    </x:row>
    <x:row r="1255" ht="22" customHeight="1">
      <x:c r="A1255" s="136" t="str">
        <x:v>SCR-1250</x:v>
      </x:c>
      <x:c r="B1255" s="143" t="n">
        <x:v>0.0000015128205128205128</x:v>
      </x:c>
      <x:c r="C1255" s="143" t="n">
        <x:v>0.00853846153846154</x:v>
      </x:c>
      <x:c r="D1255" s="161" t="n">
        <x:v>1</x:v>
      </x:c>
      <x:c r="E1255" s="163" t="n">
        <x:v>-3068.027228632075</x:v>
      </x:c>
      <x:c r="F1255" s="163" t="n">
        <x:v>0</x:v>
      </x:c>
      <x:c r="G1255" s="145" t="n">
        <x:v>0.03168438610457347</x:v>
      </x:c>
      <x:c r="H1255" s="145" t="n">
        <x:v>0.5</x:v>
      </x:c>
      <x:c r="I1255" s="136" t="str">
        <x:v>NONPOSITIVE-MODEL-MARGIN</x:v>
      </x:c>
      <x:c r="J1255" s="136" t="str">
        <x:v>V0.7-CONTROLLED-RESEARCH-SCREEN-NOT-DISTRIBUTION</x:v>
      </x:c>
    </x:row>
    <x:row r="1256" ht="22" customHeight="1">
      <x:c r="A1256" s="137" t="str">
        <x:v>SCR-1251</x:v>
      </x:c>
      <x:c r="B1256" s="142" t="n">
        <x:v>0.0000015128205128205128</x:v>
      </x:c>
      <x:c r="C1256" s="142" t="n">
        <x:v>0.008846153846153847</x:v>
      </x:c>
      <x:c r="D1256" s="160" t="n">
        <x:v>1</x:v>
      </x:c>
      <x:c r="E1256" s="162" t="n">
        <x:v>-3085.2440481073345</x:v>
      </x:c>
      <x:c r="F1256" s="162" t="n">
        <x:v>0</x:v>
      </x:c>
      <x:c r="G1256" s="144" t="n">
        <x:v>0.03197758851808073</x:v>
      </x:c>
      <x:c r="H1256" s="144" t="n">
        <x:v>0.5</x:v>
      </x:c>
      <x:c r="I1256" s="137" t="str">
        <x:v>NONPOSITIVE-MODEL-MARGIN</x:v>
      </x:c>
      <x:c r="J1256" s="137" t="str">
        <x:v>V0.7-CONTROLLED-RESEARCH-SCREEN-NOT-DISTRIBUTION</x:v>
      </x:c>
    </x:row>
    <x:row r="1257" ht="22" customHeight="1">
      <x:c r="A1257" s="136" t="str">
        <x:v>SCR-1252</x:v>
      </x:c>
      <x:c r="B1257" s="143" t="n">
        <x:v>0.0000015128205128205128</x:v>
      </x:c>
      <x:c r="C1257" s="143" t="n">
        <x:v>0.009153846153846155</x:v>
      </x:c>
      <x:c r="D1257" s="161" t="n">
        <x:v>1</x:v>
      </x:c>
      <x:c r="E1257" s="163" t="n">
        <x:v>-3102.416007061444</x:v>
      </x:c>
      <x:c r="F1257" s="163" t="n">
        <x:v>0</x:v>
      </x:c>
      <x:c r="G1257" s="145" t="n">
        <x:v>0.03227079093158799</x:v>
      </x:c>
      <x:c r="H1257" s="145" t="n">
        <x:v>0.5</x:v>
      </x:c>
      <x:c r="I1257" s="136" t="str">
        <x:v>NONPOSITIVE-MODEL-MARGIN</x:v>
      </x:c>
      <x:c r="J1257" s="136" t="str">
        <x:v>V0.7-CONTROLLED-RESEARCH-SCREEN-NOT-DISTRIBUTION</x:v>
      </x:c>
    </x:row>
    <x:row r="1258" ht="22" customHeight="1">
      <x:c r="A1258" s="137" t="str">
        <x:v>SCR-1253</x:v>
      </x:c>
      <x:c r="B1258" s="142" t="n">
        <x:v>0.0000015128205128205128</x:v>
      </x:c>
      <x:c r="C1258" s="142" t="n">
        <x:v>0.009461538461538462</x:v>
      </x:c>
      <x:c r="D1258" s="160" t="n">
        <x:v>1</x:v>
      </x:c>
      <x:c r="E1258" s="162" t="n">
        <x:v>-3119.5434300361503</x:v>
      </x:c>
      <x:c r="F1258" s="162" t="n">
        <x:v>0</x:v>
      </x:c>
      <x:c r="G1258" s="144" t="n">
        <x:v>0.03256399334509524</x:v>
      </x:c>
      <x:c r="H1258" s="144" t="n">
        <x:v>0.5</x:v>
      </x:c>
      <x:c r="I1258" s="137" t="str">
        <x:v>NONPOSITIVE-MODEL-MARGIN</x:v>
      </x:c>
      <x:c r="J1258" s="137" t="str">
        <x:v>V0.7-CONTROLLED-RESEARCH-SCREEN-NOT-DISTRIBUTION</x:v>
      </x:c>
    </x:row>
    <x:row r="1259" ht="22" customHeight="1">
      <x:c r="A1259" s="136" t="str">
        <x:v>SCR-1254</x:v>
      </x:c>
      <x:c r="B1259" s="143" t="n">
        <x:v>0.0000015128205128205128</x:v>
      </x:c>
      <x:c r="C1259" s="143" t="n">
        <x:v>0.00976923076923077</x:v>
      </x:c>
      <x:c r="D1259" s="161" t="n">
        <x:v>1</x:v>
      </x:c>
      <x:c r="E1259" s="163" t="n">
        <x:v>-3136.626636884214</x:v>
      </x:c>
      <x:c r="F1259" s="163" t="n">
        <x:v>0</x:v>
      </x:c>
      <x:c r="G1259" s="145" t="n">
        <x:v>0.03285719575860251</x:v>
      </x:c>
      <x:c r="H1259" s="145" t="n">
        <x:v>0.5</x:v>
      </x:c>
      <x:c r="I1259" s="136" t="str">
        <x:v>NONPOSITIVE-MODEL-MARGIN</x:v>
      </x:c>
      <x:c r="J1259" s="136" t="str">
        <x:v>V0.7-CONTROLLED-RESEARCH-SCREEN-NOT-DISTRIBUTION</x:v>
      </x:c>
    </x:row>
    <x:row r="1260" ht="22" customHeight="1">
      <x:c r="A1260" s="137" t="str">
        <x:v>SCR-1255</x:v>
      </x:c>
      <x:c r="B1260" s="142" t="n">
        <x:v>0.0000015128205128205128</x:v>
      </x:c>
      <x:c r="C1260" s="142" t="n">
        <x:v>0.010076923076923077</x:v>
      </x:c>
      <x:c r="D1260" s="160" t="n">
        <x:v>1</x:v>
      </x:c>
      <x:c r="E1260" s="162" t="n">
        <x:v>-3153.665942863961</x:v>
      </x:c>
      <x:c r="F1260" s="162" t="n">
        <x:v>0</x:v>
      </x:c>
      <x:c r="G1260" s="144" t="n">
        <x:v>0.03315039817210977</x:v>
      </x:c>
      <x:c r="H1260" s="144" t="n">
        <x:v>0.5</x:v>
      </x:c>
      <x:c r="I1260" s="137" t="str">
        <x:v>NONPOSITIVE-MODEL-MARGIN</x:v>
      </x:c>
      <x:c r="J1260" s="137" t="str">
        <x:v>V0.7-CONTROLLED-RESEARCH-SCREEN-NOT-DISTRIBUTION</x:v>
      </x:c>
    </x:row>
    <x:row r="1261" ht="22" customHeight="1">
      <x:c r="A1261" s="136" t="str">
        <x:v>SCR-1256</x:v>
      </x:c>
      <x:c r="B1261" s="143" t="n">
        <x:v>0.0000015128205128205128</x:v>
      </x:c>
      <x:c r="C1261" s="143" t="n">
        <x:v>0.010384615384615384</x:v>
      </x:c>
      <x:c r="D1261" s="161" t="n">
        <x:v>1</x:v>
      </x:c>
      <x:c r="E1261" s="163" t="n">
        <x:v>-3170.6616587315466</x:v>
      </x:c>
      <x:c r="F1261" s="163" t="n">
        <x:v>0</x:v>
      </x:c>
      <x:c r="G1261" s="145" t="n">
        <x:v>0.03344360058561703</x:v>
      </x:c>
      <x:c r="H1261" s="145" t="n">
        <x:v>0.5</x:v>
      </x:c>
      <x:c r="I1261" s="136" t="str">
        <x:v>NONPOSITIVE-MODEL-MARGIN</x:v>
      </x:c>
      <x:c r="J1261" s="136" t="str">
        <x:v>V0.7-CONTROLLED-RESEARCH-SCREEN-NOT-DISTRIBUTION</x:v>
      </x:c>
    </x:row>
    <x:row r="1262" ht="22" customHeight="1">
      <x:c r="A1262" s="137" t="str">
        <x:v>SCR-1257</x:v>
      </x:c>
      <x:c r="B1262" s="142" t="n">
        <x:v>0.0000015128205128205128</x:v>
      </x:c>
      <x:c r="C1262" s="142" t="n">
        <x:v>0.010692307692307692</x:v>
      </x:c>
      <x:c r="D1262" s="160" t="n">
        <x:v>1</x:v>
      </x:c>
      <x:c r="E1262" s="162" t="n">
        <x:v>-3187.614090831073</x:v>
      </x:c>
      <x:c r="F1262" s="162" t="n">
        <x:v>0</x:v>
      </x:c>
      <x:c r="G1262" s="144" t="n">
        <x:v>0.03373680299912429</x:v>
      </x:c>
      <x:c r="H1262" s="144" t="n">
        <x:v>0.5</x:v>
      </x:c>
      <x:c r="I1262" s="137" t="str">
        <x:v>NONPOSITIVE-MODEL-MARGIN</x:v>
      </x:c>
      <x:c r="J1262" s="137" t="str">
        <x:v>V0.7-CONTROLLED-RESEARCH-SCREEN-NOT-DISTRIBUTION</x:v>
      </x:c>
    </x:row>
    <x:row r="1263" ht="22" customHeight="1">
      <x:c r="A1263" s="136" t="str">
        <x:v>SCR-1258</x:v>
      </x:c>
      <x:c r="B1263" s="143" t="n">
        <x:v>0.0000015128205128205128</x:v>
      </x:c>
      <x:c r="C1263" s="143" t="n">
        <x:v>0.011</x:v>
      </x:c>
      <x:c r="D1263" s="161" t="n">
        <x:v>1</x:v>
      </x:c>
      <x:c r="E1263" s="163" t="n">
        <x:v>-3204.5235411824774</x:v>
      </x:c>
      <x:c r="F1263" s="163" t="n">
        <x:v>0</x:v>
      </x:c>
      <x:c r="G1263" s="145" t="n">
        <x:v>0.03403000541263154</x:v>
      </x:c>
      <x:c r="H1263" s="145" t="n">
        <x:v>0.5</x:v>
      </x:c>
      <x:c r="I1263" s="136" t="str">
        <x:v>NONPOSITIVE-MODEL-MARGIN</x:v>
      </x:c>
      <x:c r="J1263" s="136" t="str">
        <x:v>V0.7-CONTROLLED-RESEARCH-SCREEN-NOT-DISTRIBUTION</x:v>
      </x:c>
    </x:row>
    <x:row r="1264" ht="22" customHeight="1">
      <x:c r="A1264" s="137" t="str">
        <x:v>SCR-1259</x:v>
      </x:c>
      <x:c r="B1264" s="142" t="n">
        <x:v>0.0000015128205128205128</x:v>
      </x:c>
      <x:c r="C1264" s="142" t="n">
        <x:v>0.011307692307692307</x:v>
      </x:c>
      <x:c r="D1264" s="160" t="n">
        <x:v>1</x:v>
      </x:c>
      <x:c r="E1264" s="162" t="n">
        <x:v>-3221.390307567399</x:v>
      </x:c>
      <x:c r="F1264" s="162" t="n">
        <x:v>0</x:v>
      </x:c>
      <x:c r="G1264" s="144" t="n">
        <x:v>0.03432320782613881</x:v>
      </x:c>
      <x:c r="H1264" s="144" t="n">
        <x:v>0.5</x:v>
      </x:c>
      <x:c r="I1264" s="137" t="str">
        <x:v>NONPOSITIVE-MODEL-MARGIN</x:v>
      </x:c>
      <x:c r="J1264" s="137" t="str">
        <x:v>V0.7-CONTROLLED-RESEARCH-SCREEN-NOT-DISTRIBUTION</x:v>
      </x:c>
    </x:row>
    <x:row r="1265" ht="22" customHeight="1">
      <x:c r="A1265" s="136" t="str">
        <x:v>SCR-1260</x:v>
      </x:c>
      <x:c r="B1265" s="143" t="n">
        <x:v>0.0000015128205128205128</x:v>
      </x:c>
      <x:c r="C1265" s="143" t="n">
        <x:v>0.011615384615384614</x:v>
      </x:c>
      <x:c r="D1265" s="161" t="n">
        <x:v>1</x:v>
      </x:c>
      <x:c r="E1265" s="163" t="n">
        <x:v>-3238.214683612898</x:v>
      </x:c>
      <x:c r="F1265" s="163" t="n">
        <x:v>0</x:v>
      </x:c>
      <x:c r="G1265" s="145" t="n">
        <x:v>0.03461641023964606</x:v>
      </x:c>
      <x:c r="H1265" s="145" t="n">
        <x:v>0.5</x:v>
      </x:c>
      <x:c r="I1265" s="136" t="str">
        <x:v>NONPOSITIVE-MODEL-MARGIN</x:v>
      </x:c>
      <x:c r="J1265" s="136" t="str">
        <x:v>V0.7-CONTROLLED-RESEARCH-SCREEN-NOT-DISTRIBUTION</x:v>
      </x:c>
    </x:row>
    <x:row r="1266" ht="22" customHeight="1">
      <x:c r="A1266" s="137" t="str">
        <x:v>SCR-1261</x:v>
      </x:c>
      <x:c r="B1266" s="142" t="n">
        <x:v>0.0000015128205128205128</x:v>
      </x:c>
      <x:c r="C1266" s="142" t="n">
        <x:v>0.011923076923076925</x:v>
      </x:c>
      <x:c r="D1266" s="160" t="n">
        <x:v>1</x:v>
      </x:c>
      <x:c r="E1266" s="162" t="n">
        <x:v>-3254.996958873259</x:v>
      </x:c>
      <x:c r="F1266" s="162" t="n">
        <x:v>0</x:v>
      </x:c>
      <x:c r="G1266" s="144" t="n">
        <x:v>0.03490961265315332</x:v>
      </x:c>
      <x:c r="H1266" s="144" t="n">
        <x:v>0.5</x:v>
      </x:c>
      <x:c r="I1266" s="137" t="str">
        <x:v>NONPOSITIVE-MODEL-MARGIN</x:v>
      </x:c>
      <x:c r="J1266" s="137" t="str">
        <x:v>V0.7-CONTROLLED-RESEARCH-SCREEN-NOT-DISTRIBUTION</x:v>
      </x:c>
    </x:row>
    <x:row r="1267" ht="22" customHeight="1">
      <x:c r="A1267" s="136" t="str">
        <x:v>SCR-1262</x:v>
      </x:c>
      <x:c r="B1267" s="143" t="n">
        <x:v>0.0000015128205128205128</x:v>
      </x:c>
      <x:c r="C1267" s="143" t="n">
        <x:v>0.012230769230769233</x:v>
      </x:c>
      <x:c r="D1267" s="161" t="n">
        <x:v>1</x:v>
      </x:c>
      <x:c r="E1267" s="163" t="n">
        <x:v>-3271.737418909794</x:v>
      </x:c>
      <x:c r="F1267" s="163" t="n">
        <x:v>0</x:v>
      </x:c>
      <x:c r="G1267" s="145" t="n">
        <x:v>0.03520281506666059</x:v>
      </x:c>
      <x:c r="H1267" s="145" t="n">
        <x:v>0.5</x:v>
      </x:c>
      <x:c r="I1267" s="136" t="str">
        <x:v>NONPOSITIVE-MODEL-MARGIN</x:v>
      </x:c>
      <x:c r="J1267" s="136" t="str">
        <x:v>V0.7-CONTROLLED-RESEARCH-SCREEN-NOT-DISTRIBUTION</x:v>
      </x:c>
    </x:row>
    <x:row r="1268" ht="22" customHeight="1">
      <x:c r="A1268" s="137" t="str">
        <x:v>SCR-1263</x:v>
      </x:c>
      <x:c r="B1268" s="142" t="n">
        <x:v>0.0000015128205128205128</x:v>
      </x:c>
      <x:c r="C1268" s="142" t="n">
        <x:v>0.01253846153846154</x:v>
      </x:c>
      <x:c r="D1268" s="160" t="n">
        <x:v>1</x:v>
      </x:c>
      <x:c r="E1268" s="162" t="n">
        <x:v>-3288.4363453687242</x:v>
      </x:c>
      <x:c r="F1268" s="162" t="n">
        <x:v>0</x:v>
      </x:c>
      <x:c r="G1268" s="144" t="n">
        <x:v>0.03549601748016785</x:v>
      </x:c>
      <x:c r="H1268" s="144" t="n">
        <x:v>0.5</x:v>
      </x:c>
      <x:c r="I1268" s="137" t="str">
        <x:v>NONPOSITIVE-MODEL-MARGIN</x:v>
      </x:c>
      <x:c r="J1268" s="137" t="str">
        <x:v>V0.7-CONTROLLED-RESEARCH-SCREEN-NOT-DISTRIBUTION</x:v>
      </x:c>
    </x:row>
    <x:row r="1269" ht="22" customHeight="1">
      <x:c r="A1269" s="136" t="str">
        <x:v>SCR-1264</x:v>
      </x:c>
      <x:c r="B1269" s="143" t="n">
        <x:v>0.0000015128205128205128</x:v>
      </x:c>
      <x:c r="C1269" s="143" t="n">
        <x:v>0.012846153846153847</x:v>
      </x:c>
      <x:c r="D1269" s="161" t="n">
        <x:v>1</x:v>
      </x:c>
      <x:c r="E1269" s="163" t="n">
        <x:v>-3305.0940160572654</x:v>
      </x:c>
      <x:c r="F1269" s="163" t="n">
        <x:v>0</x:v>
      </x:c>
      <x:c r="G1269" s="145" t="n">
        <x:v>0.03578921989367511</x:v>
      </x:c>
      <x:c r="H1269" s="145" t="n">
        <x:v>0.5</x:v>
      </x:c>
      <x:c r="I1269" s="136" t="str">
        <x:v>NONPOSITIVE-MODEL-MARGIN</x:v>
      </x:c>
      <x:c r="J1269" s="136" t="str">
        <x:v>V0.7-CONTROLLED-RESEARCH-SCREEN-NOT-DISTRIBUTION</x:v>
      </x:c>
    </x:row>
    <x:row r="1270" ht="22" customHeight="1">
      <x:c r="A1270" s="137" t="str">
        <x:v>SCR-1265</x:v>
      </x:c>
      <x:c r="B1270" s="142" t="n">
        <x:v>0.0000015128205128205128</x:v>
      </x:c>
      <x:c r="C1270" s="142" t="n">
        <x:v>0.013153846153846155</x:v>
      </x:c>
      <x:c r="D1270" s="160" t="n">
        <x:v>1</x:v>
      </x:c>
      <x:c r="E1270" s="162" t="n">
        <x:v>-3321.7107050178215</x:v>
      </x:c>
      <x:c r="F1270" s="162" t="n">
        <x:v>0</x:v>
      </x:c>
      <x:c r="G1270" s="144" t="n">
        <x:v>0.03608242230718236</x:v>
      </x:c>
      <x:c r="H1270" s="144" t="n">
        <x:v>0.5</x:v>
      </x:c>
      <x:c r="I1270" s="137" t="str">
        <x:v>NONPOSITIVE-MODEL-MARGIN</x:v>
      </x:c>
      <x:c r="J1270" s="137" t="str">
        <x:v>V0.7-CONTROLLED-RESEARCH-SCREEN-NOT-DISTRIBUTION</x:v>
      </x:c>
    </x:row>
    <x:row r="1271" ht="22" customHeight="1">
      <x:c r="A1271" s="136" t="str">
        <x:v>SCR-1266</x:v>
      </x:c>
      <x:c r="B1271" s="143" t="n">
        <x:v>0.0000015128205128205128</x:v>
      </x:c>
      <x:c r="C1271" s="143" t="n">
        <x:v>0.013461538461538462</x:v>
      </x:c>
      <x:c r="D1271" s="161" t="n">
        <x:v>1</x:v>
      </x:c>
      <x:c r="E1271" s="163" t="n">
        <x:v>-3338.2866826004947</x:v>
      </x:c>
      <x:c r="F1271" s="163" t="n">
        <x:v>0</x:v>
      </x:c>
      <x:c r="G1271" s="145" t="n">
        <x:v>0.03637562472068962</x:v>
      </x:c>
      <x:c r="H1271" s="145" t="n">
        <x:v>0.5</x:v>
      </x:c>
      <x:c r="I1271" s="136" t="str">
        <x:v>NONPOSITIVE-MODEL-MARGIN</x:v>
      </x:c>
      <x:c r="J1271" s="136" t="str">
        <x:v>V0.7-CONTROLLED-RESEARCH-SCREEN-NOT-DISTRIBUTION</x:v>
      </x:c>
    </x:row>
    <x:row r="1272" ht="22" customHeight="1">
      <x:c r="A1272" s="137" t="str">
        <x:v>SCR-1267</x:v>
      </x:c>
      <x:c r="B1272" s="142" t="n">
        <x:v>0.0000015128205128205128</x:v>
      </x:c>
      <x:c r="C1272" s="142" t="n">
        <x:v>0.01376923076923077</x:v>
      </x:c>
      <x:c r="D1272" s="160" t="n">
        <x:v>1</x:v>
      </x:c>
      <x:c r="E1272" s="162" t="n">
        <x:v>-3354.822215533827</x:v>
      </x:c>
      <x:c r="F1272" s="162" t="n">
        <x:v>0</x:v>
      </x:c>
      <x:c r="G1272" s="144" t="n">
        <x:v>0.036668827134196884</x:v>
      </x:c>
      <x:c r="H1272" s="144" t="n">
        <x:v>0.5</x:v>
      </x:c>
      <x:c r="I1272" s="137" t="str">
        <x:v>NONPOSITIVE-MODEL-MARGIN</x:v>
      </x:c>
      <x:c r="J1272" s="137" t="str">
        <x:v>V0.7-CONTROLLED-RESEARCH-SCREEN-NOT-DISTRIBUTION</x:v>
      </x:c>
    </x:row>
    <x:row r="1273" ht="22" customHeight="1">
      <x:c r="A1273" s="136" t="str">
        <x:v>SCR-1268</x:v>
      </x:c>
      <x:c r="B1273" s="143" t="n">
        <x:v>0.0000015128205128205128</x:v>
      </x:c>
      <x:c r="C1273" s="143" t="n">
        <x:v>0.014076923076923077</x:v>
      </x:c>
      <x:c r="D1273" s="161" t="n">
        <x:v>1</x:v>
      </x:c>
      <x:c r="E1273" s="163" t="n">
        <x:v>-3371.317566993839</x:v>
      </x:c>
      <x:c r="F1273" s="163" t="n">
        <x:v>0</x:v>
      </x:c>
      <x:c r="G1273" s="145" t="n">
        <x:v>0.036962029547704146</x:v>
      </x:c>
      <x:c r="H1273" s="145" t="n">
        <x:v>0.5</x:v>
      </x:c>
      <x:c r="I1273" s="136" t="str">
        <x:v>NONPOSITIVE-MODEL-MARGIN</x:v>
      </x:c>
      <x:c r="J1273" s="136" t="str">
        <x:v>V0.7-CONTROLLED-RESEARCH-SCREEN-NOT-DISTRIBUTION</x:v>
      </x:c>
    </x:row>
    <x:row r="1274" ht="22" customHeight="1">
      <x:c r="A1274" s="137" t="str">
        <x:v>SCR-1269</x:v>
      </x:c>
      <x:c r="B1274" s="142" t="n">
        <x:v>0.0000015128205128205128</x:v>
      </x:c>
      <x:c r="C1274" s="142" t="n">
        <x:v>0.014384615384615385</x:v>
      </x:c>
      <x:c r="D1274" s="160" t="n">
        <x:v>1</x:v>
      </x:c>
      <x:c r="E1274" s="162" t="n">
        <x:v>-3387.772996671538</x:v>
      </x:c>
      <x:c r="F1274" s="162" t="n">
        <x:v>0</x:v>
      </x:c>
      <x:c r="G1274" s="144" t="n">
        <x:v>0.03725523196121141</x:v>
      </x:c>
      <x:c r="H1274" s="144" t="n">
        <x:v>0.5</x:v>
      </x:c>
      <x:c r="I1274" s="137" t="str">
        <x:v>NONPOSITIVE-MODEL-MARGIN</x:v>
      </x:c>
      <x:c r="J1274" s="137" t="str">
        <x:v>V0.7-CONTROLLED-RESEARCH-SCREEN-NOT-DISTRIBUTION</x:v>
      </x:c>
    </x:row>
    <x:row r="1275" ht="22" customHeight="1">
      <x:c r="A1275" s="136" t="str">
        <x:v>SCR-1270</x:v>
      </x:c>
      <x:c r="B1275" s="143" t="n">
        <x:v>0.0000015128205128205128</x:v>
      </x:c>
      <x:c r="C1275" s="143" t="n">
        <x:v>0.014692307692307692</x:v>
      </x:c>
      <x:c r="D1275" s="161" t="n">
        <x:v>1</x:v>
      </x:c>
      <x:c r="E1275" s="163" t="n">
        <x:v>-3404.188760838738</x:v>
      </x:c>
      <x:c r="F1275" s="163" t="n">
        <x:v>0</x:v>
      </x:c>
      <x:c r="G1275" s="145" t="n">
        <x:v>0.03754843437471866</x:v>
      </x:c>
      <x:c r="H1275" s="145" t="n">
        <x:v>0.5</x:v>
      </x:c>
      <x:c r="I1275" s="136" t="str">
        <x:v>NONPOSITIVE-MODEL-MARGIN</x:v>
      </x:c>
      <x:c r="J1275" s="136" t="str">
        <x:v>V0.7-CONTROLLED-RESEARCH-SCREEN-NOT-DISTRIBUTION</x:v>
      </x:c>
    </x:row>
    <x:row r="1276" ht="22" customHeight="1">
      <x:c r="A1276" s="137" t="str">
        <x:v>SCR-1271</x:v>
      </x:c>
      <x:c r="B1276" s="142" t="n">
        <x:v>0.0000015128205128205128</x:v>
      </x:c>
      <x:c r="C1276" s="142" t="n">
        <x:v>0.015</x:v>
      </x:c>
      <x:c r="D1276" s="160" t="n">
        <x:v>1</x:v>
      </x:c>
      <x:c r="E1276" s="162" t="n">
        <x:v>-3420.5651124123547</x:v>
      </x:c>
      <x:c r="F1276" s="162" t="n">
        <x:v>0</x:v>
      </x:c>
      <x:c r="G1276" s="144" t="n">
        <x:v>0.03784163678822593</x:v>
      </x:c>
      <x:c r="H1276" s="144" t="n">
        <x:v>0.5</x:v>
      </x:c>
      <x:c r="I1276" s="137" t="str">
        <x:v>NONPOSITIVE-MODEL-MARGIN</x:v>
      </x:c>
      <x:c r="J1276" s="137" t="str">
        <x:v>V0.7-CONTROLLED-RESEARCH-SCREEN-NOT-DISTRIBUTION</x:v>
      </x:c>
    </x:row>
    <x:row r="1277" ht="22" customHeight="1">
      <x:c r="A1277" s="136" t="str">
        <x:v>SCR-1272</x:v>
      </x:c>
      <x:c r="B1277" s="143" t="n">
        <x:v>0.0000015615384615384617</x:v>
      </x:c>
      <x:c r="C1277" s="143" t="n">
        <x:v>0.003</x:v>
      </x:c>
      <x:c r="D1277" s="161" t="n">
        <x:v>1</x:v>
      </x:c>
      <x:c r="E1277" s="163" t="n">
        <x:v>-2796.0065065170975</x:v>
      </x:c>
      <x:c r="F1277" s="163" t="n">
        <x:v>0</x:v>
      </x:c>
      <x:c r="G1277" s="145" t="n">
        <x:v>0.027109429646069563</x:v>
      </x:c>
      <x:c r="H1277" s="145" t="n">
        <x:v>0.5</x:v>
      </x:c>
      <x:c r="I1277" s="136" t="str">
        <x:v>NONPOSITIVE-MODEL-MARGIN</x:v>
      </x:c>
      <x:c r="J1277" s="136" t="str">
        <x:v>V0.7-CONTROLLED-RESEARCH-SCREEN-NOT-DISTRIBUTION</x:v>
      </x:c>
    </x:row>
    <x:row r="1278" ht="22" customHeight="1">
      <x:c r="A1278" s="137" t="str">
        <x:v>SCR-1273</x:v>
      </x:c>
      <x:c r="B1278" s="142" t="n">
        <x:v>0.0000015615384615384617</x:v>
      </x:c>
      <x:c r="C1278" s="142" t="n">
        <x:v>0.003307692307692308</x:v>
      </x:c>
      <x:c r="D1278" s="160" t="n">
        <x:v>1</x:v>
      </x:c>
      <x:c r="E1278" s="162" t="n">
        <x:v>-2813.972799389927</x:v>
      </x:c>
      <x:c r="F1278" s="162" t="n">
        <x:v>0</x:v>
      </x:c>
      <x:c r="G1278" s="144" t="n">
        <x:v>0.027402197053993303</x:v>
      </x:c>
      <x:c r="H1278" s="144" t="n">
        <x:v>0.5</x:v>
      </x:c>
      <x:c r="I1278" s="137" t="str">
        <x:v>NONPOSITIVE-MODEL-MARGIN</x:v>
      </x:c>
      <x:c r="J1278" s="137" t="str">
        <x:v>V0.7-CONTROLLED-RESEARCH-SCREEN-NOT-DISTRIBUTION</x:v>
      </x:c>
    </x:row>
    <x:row r="1279" ht="22" customHeight="1">
      <x:c r="A1279" s="136" t="str">
        <x:v>SCR-1274</x:v>
      </x:c>
      <x:c r="B1279" s="143" t="n">
        <x:v>0.0000015615384615384617</x:v>
      </x:c>
      <x:c r="C1279" s="143" t="n">
        <x:v>0.0036153846153846154</x:v>
      </x:c>
      <x:c r="D1279" s="161" t="n">
        <x:v>1</x:v>
      </x:c>
      <x:c r="E1279" s="163" t="n">
        <x:v>-2831.8885182994404</x:v>
      </x:c>
      <x:c r="F1279" s="163" t="n">
        <x:v>0</x:v>
      </x:c>
      <x:c r="G1279" s="145" t="n">
        <x:v>0.02769496446191703</x:v>
      </x:c>
      <x:c r="H1279" s="145" t="n">
        <x:v>0.5</x:v>
      </x:c>
      <x:c r="I1279" s="136" t="str">
        <x:v>NONPOSITIVE-MODEL-MARGIN</x:v>
      </x:c>
      <x:c r="J1279" s="136" t="str">
        <x:v>V0.7-CONTROLLED-RESEARCH-SCREEN-NOT-DISTRIBUTION</x:v>
      </x:c>
    </x:row>
    <x:row r="1280" ht="22" customHeight="1">
      <x:c r="A1280" s="137" t="str">
        <x:v>SCR-1275</x:v>
      </x:c>
      <x:c r="B1280" s="142" t="n">
        <x:v>0.0000015615384615384617</x:v>
      </x:c>
      <x:c r="C1280" s="142" t="n">
        <x:v>0.003923076923076923</x:v>
      </x:c>
      <x:c r="D1280" s="160" t="n">
        <x:v>1</x:v>
      </x:c>
      <x:c r="E1280" s="162" t="n">
        <x:v>-2849.7540746442637</x:v>
      </x:c>
      <x:c r="F1280" s="162" t="n">
        <x:v>0</x:v>
      </x:c>
      <x:c r="G1280" s="144" t="n">
        <x:v>0.02798773186984076</x:v>
      </x:c>
      <x:c r="H1280" s="144" t="n">
        <x:v>0.5</x:v>
      </x:c>
      <x:c r="I1280" s="137" t="str">
        <x:v>NONPOSITIVE-MODEL-MARGIN</x:v>
      </x:c>
      <x:c r="J1280" s="137" t="str">
        <x:v>V0.7-CONTROLLED-RESEARCH-SCREEN-NOT-DISTRIBUTION</x:v>
      </x:c>
    </x:row>
    <x:row r="1281" ht="22" customHeight="1">
      <x:c r="A1281" s="136" t="str">
        <x:v>SCR-1276</x:v>
      </x:c>
      <x:c r="B1281" s="143" t="n">
        <x:v>0.0000015615384615384617</x:v>
      </x:c>
      <x:c r="C1281" s="143" t="n">
        <x:v>0.004230769230769231</x:v>
      </x:c>
      <x:c r="D1281" s="161" t="n">
        <x:v>1</x:v>
      </x:c>
      <x:c r="E1281" s="163" t="n">
        <x:v>-2867.569873333765</x:v>
      </x:c>
      <x:c r="F1281" s="163" t="n">
        <x:v>0</x:v>
      </x:c>
      <x:c r="G1281" s="145" t="n">
        <x:v>0.028280499277764496</x:v>
      </x:c>
      <x:c r="H1281" s="145" t="n">
        <x:v>0.5</x:v>
      </x:c>
      <x:c r="I1281" s="136" t="str">
        <x:v>NONPOSITIVE-MODEL-MARGIN</x:v>
      </x:c>
      <x:c r="J1281" s="136" t="str">
        <x:v>V0.7-CONTROLLED-RESEARCH-SCREEN-NOT-DISTRIBUTION</x:v>
      </x:c>
    </x:row>
    <x:row r="1282" ht="22" customHeight="1">
      <x:c r="A1282" s="137" t="str">
        <x:v>SCR-1277</x:v>
      </x:c>
      <x:c r="B1282" s="142" t="n">
        <x:v>0.0000015615384615384617</x:v>
      </x:c>
      <x:c r="C1282" s="142" t="n">
        <x:v>0.004538461538461538</x:v>
      </x:c>
      <x:c r="D1282" s="160" t="n">
        <x:v>1</x:v>
      </x:c>
      <x:c r="E1282" s="162" t="n">
        <x:v>-2885.3363129240515</x:v>
      </x:c>
      <x:c r="F1282" s="162" t="n">
        <x:v>0</x:v>
      </x:c>
      <x:c r="G1282" s="144" t="n">
        <x:v>0.028573266685688225</x:v>
      </x:c>
      <x:c r="H1282" s="144" t="n">
        <x:v>0.5</x:v>
      </x:c>
      <x:c r="I1282" s="137" t="str">
        <x:v>NONPOSITIVE-MODEL-MARGIN</x:v>
      </x:c>
      <x:c r="J1282" s="137" t="str">
        <x:v>V0.7-CONTROLLED-RESEARCH-SCREEN-NOT-DISTRIBUTION</x:v>
      </x:c>
    </x:row>
    <x:row r="1283" ht="22" customHeight="1">
      <x:c r="A1283" s="136" t="str">
        <x:v>SCR-1278</x:v>
      </x:c>
      <x:c r="B1283" s="143" t="n">
        <x:v>0.0000015615384615384617</x:v>
      </x:c>
      <x:c r="C1283" s="143" t="n">
        <x:v>0.004846153846153846</x:v>
      </x:c>
      <x:c r="D1283" s="161" t="n">
        <x:v>1</x:v>
      </x:c>
      <x:c r="E1283" s="163" t="n">
        <x:v>-2903.053785751061</x:v>
      </x:c>
      <x:c r="F1283" s="163" t="n">
        <x:v>0</x:v>
      </x:c>
      <x:c r="G1283" s="145" t="n">
        <x:v>0.028866034093611957</x:v>
      </x:c>
      <x:c r="H1283" s="145" t="n">
        <x:v>0.5</x:v>
      </x:c>
      <x:c r="I1283" s="136" t="str">
        <x:v>NONPOSITIVE-MODEL-MARGIN</x:v>
      </x:c>
      <x:c r="J1283" s="136" t="str">
        <x:v>V0.7-CONTROLLED-RESEARCH-SCREEN-NOT-DISTRIBUTION</x:v>
      </x:c>
    </x:row>
    <x:row r="1284" ht="22" customHeight="1">
      <x:c r="A1284" s="137" t="str">
        <x:v>SCR-1279</x:v>
      </x:c>
      <x:c r="B1284" s="142" t="n">
        <x:v>0.0000015615384615384617</x:v>
      </x:c>
      <x:c r="C1284" s="142" t="n">
        <x:v>0.005</x:v>
      </x:c>
      <x:c r="D1284" s="160" t="n">
        <x:v>1</x:v>
      </x:c>
      <x:c r="E1284" s="162" t="n">
        <x:v>-2911.894280564603</x:v>
      </x:c>
      <x:c r="F1284" s="162" t="n">
        <x:v>0</x:v>
      </x:c>
      <x:c r="G1284" s="144" t="n">
        <x:v>0.02901241779757382</x:v>
      </x:c>
      <x:c r="H1284" s="144" t="n">
        <x:v>0.5</x:v>
      </x:c>
      <x:c r="I1284" s="137" t="str">
        <x:v>NONPOSITIVE-MODEL-MARGIN</x:v>
      </x:c>
      <x:c r="J1284" s="137" t="str">
        <x:v>V0.7-CONTROLLED-RESEARCH-SCREEN-NOT-DISTRIBUTION</x:v>
      </x:c>
    </x:row>
    <x:row r="1285" ht="22" customHeight="1">
      <x:c r="A1285" s="136" t="str">
        <x:v>SCR-1280</x:v>
      </x:c>
      <x:c r="B1285" s="143" t="n">
        <x:v>0.0000015615384615384617</x:v>
      </x:c>
      <x:c r="C1285" s="143" t="n">
        <x:v>0.005153846153846154</x:v>
      </x:c>
      <x:c r="D1285" s="161" t="n">
        <x:v>1</x:v>
      </x:c>
      <x:c r="E1285" s="163" t="n">
        <x:v>-2920.7226780607907</x:v>
      </x:c>
      <x:c r="F1285" s="163" t="n">
        <x:v>0</x:v>
      </x:c>
      <x:c r="G1285" s="145" t="n">
        <x:v>0.02915880150153569</x:v>
      </x:c>
      <x:c r="H1285" s="145" t="n">
        <x:v>0.5</x:v>
      </x:c>
      <x:c r="I1285" s="136" t="str">
        <x:v>NONPOSITIVE-MODEL-MARGIN</x:v>
      </x:c>
      <x:c r="J1285" s="136" t="str">
        <x:v>V0.7-CONTROLLED-RESEARCH-SCREEN-NOT-DISTRIBUTION</x:v>
      </x:c>
    </x:row>
    <x:row r="1286" ht="22" customHeight="1">
      <x:c r="A1286" s="137" t="str">
        <x:v>SCR-1281</x:v>
      </x:c>
      <x:c r="B1286" s="142" t="n">
        <x:v>0.0000015615384615384617</x:v>
      </x:c>
      <x:c r="C1286" s="142" t="n">
        <x:v>0.005461538461538462</x:v>
      </x:c>
      <x:c r="D1286" s="160" t="n">
        <x:v>1</x:v>
      </x:c>
      <x:c r="E1286" s="162" t="n">
        <x:v>-2938.3433701365784</x:v>
      </x:c>
      <x:c r="F1286" s="162" t="n">
        <x:v>0</x:v>
      </x:c>
      <x:c r="G1286" s="144" t="n">
        <x:v>0.02945156890945943</x:v>
      </x:c>
      <x:c r="H1286" s="144" t="n">
        <x:v>0.5</x:v>
      </x:c>
      <x:c r="I1286" s="137" t="str">
        <x:v>NONPOSITIVE-MODEL-MARGIN</x:v>
      </x:c>
      <x:c r="J1286" s="137" t="str">
        <x:v>V0.7-CONTROLLED-RESEARCH-SCREEN-NOT-DISTRIBUTION</x:v>
      </x:c>
    </x:row>
    <x:row r="1287" ht="22" customHeight="1">
      <x:c r="A1287" s="136" t="str">
        <x:v>SCR-1282</x:v>
      </x:c>
      <x:c r="B1287" s="143" t="n">
        <x:v>0.0000015615384615384617</x:v>
      </x:c>
      <x:c r="C1287" s="143" t="n">
        <x:v>0.0057692307692307696</x:v>
      </x:c>
      <x:c r="D1287" s="161" t="n">
        <x:v>1</x:v>
      </x:c>
      <x:c r="E1287" s="163" t="n">
        <x:v>-2955.9162364235726</x:v>
      </x:c>
      <x:c r="F1287" s="163" t="n">
        <x:v>0</x:v>
      </x:c>
      <x:c r="G1287" s="145" t="n">
        <x:v>0.029744336317383158</x:v>
      </x:c>
      <x:c r="H1287" s="145" t="n">
        <x:v>0.5</x:v>
      </x:c>
      <x:c r="I1287" s="136" t="str">
        <x:v>NONPOSITIVE-MODEL-MARGIN</x:v>
      </x:c>
      <x:c r="J1287" s="136" t="str">
        <x:v>V0.7-CONTROLLED-RESEARCH-SCREEN-NOT-DISTRIBUTION</x:v>
      </x:c>
    </x:row>
    <x:row r="1288" ht="22" customHeight="1">
      <x:c r="A1288" s="137" t="str">
        <x:v>SCR-1283</x:v>
      </x:c>
      <x:c r="B1288" s="142" t="n">
        <x:v>0.0000015615384615384617</x:v>
      </x:c>
      <x:c r="C1288" s="142" t="n">
        <x:v>0.006076923076923077</x:v>
      </x:c>
      <x:c r="D1288" s="160" t="n">
        <x:v>1</x:v>
      </x:c>
      <x:c r="E1288" s="162" t="n">
        <x:v>-2973.4416456504023</x:v>
      </x:c>
      <x:c r="F1288" s="162" t="n">
        <x:v>0</x:v>
      </x:c>
      <x:c r="G1288" s="144" t="n">
        <x:v>0.030037103725306886</x:v>
      </x:c>
      <x:c r="H1288" s="144" t="n">
        <x:v>0.5</x:v>
      </x:c>
      <x:c r="I1288" s="137" t="str">
        <x:v>NONPOSITIVE-MODEL-MARGIN</x:v>
      </x:c>
      <x:c r="J1288" s="137" t="str">
        <x:v>V0.7-CONTROLLED-RESEARCH-SCREEN-NOT-DISTRIBUTION</x:v>
      </x:c>
    </x:row>
    <x:row r="1289" ht="22" customHeight="1">
      <x:c r="A1289" s="136" t="str">
        <x:v>SCR-1284</x:v>
      </x:c>
      <x:c r="B1289" s="143" t="n">
        <x:v>0.0000015615384615384617</x:v>
      </x:c>
      <x:c r="C1289" s="143" t="n">
        <x:v>0.006384615384615384</x:v>
      </x:c>
      <x:c r="D1289" s="161" t="n">
        <x:v>1</x:v>
      </x:c>
      <x:c r="E1289" s="163" t="n">
        <x:v>-2990.9199609479874</x:v>
      </x:c>
      <x:c r="F1289" s="163" t="n">
        <x:v>0</x:v>
      </x:c>
      <x:c r="G1289" s="145" t="n">
        <x:v>0.030329871133230626</x:v>
      </x:c>
      <x:c r="H1289" s="145" t="n">
        <x:v>0.5</x:v>
      </x:c>
      <x:c r="I1289" s="136" t="str">
        <x:v>NONPOSITIVE-MODEL-MARGIN</x:v>
      </x:c>
      <x:c r="J1289" s="136" t="str">
        <x:v>V0.7-CONTROLLED-RESEARCH-SCREEN-NOT-DISTRIBUTION</x:v>
      </x:c>
    </x:row>
    <x:row r="1290" ht="22" customHeight="1">
      <x:c r="A1290" s="137" t="str">
        <x:v>SCR-1285</x:v>
      </x:c>
      <x:c r="B1290" s="142" t="n">
        <x:v>0.0000015615384615384617</x:v>
      </x:c>
      <x:c r="C1290" s="142" t="n">
        <x:v>0.006692307692307693</x:v>
      </x:c>
      <x:c r="D1290" s="160" t="n">
        <x:v>1</x:v>
      </x:c>
      <x:c r="E1290" s="162" t="n">
        <x:v>-3008.351539965703</x:v>
      </x:c>
      <x:c r="F1290" s="162" t="n">
        <x:v>0</x:v>
      </x:c>
      <x:c r="G1290" s="144" t="n">
        <x:v>0.03062263854115435</x:v>
      </x:c>
      <x:c r="H1290" s="144" t="n">
        <x:v>0.5</x:v>
      </x:c>
      <x:c r="I1290" s="137" t="str">
        <x:v>NONPOSITIVE-MODEL-MARGIN</x:v>
      </x:c>
      <x:c r="J1290" s="137" t="str">
        <x:v>V0.7-CONTROLLED-RESEARCH-SCREEN-NOT-DISTRIBUTION</x:v>
      </x:c>
    </x:row>
    <x:row r="1291" ht="22" customHeight="1">
      <x:c r="A1291" s="136" t="str">
        <x:v>SCR-1286</x:v>
      </x:c>
      <x:c r="B1291" s="143" t="n">
        <x:v>0.0000015615384615384617</x:v>
      </x:c>
      <x:c r="C1291" s="143" t="n">
        <x:v>0.007</x:v>
      </x:c>
      <x:c r="D1291" s="161" t="n">
        <x:v>1</x:v>
      </x:c>
      <x:c r="E1291" s="163" t="n">
        <x:v>-3025.736734984757</x:v>
      </x:c>
      <x:c r="F1291" s="163" t="n">
        <x:v>0</x:v>
      </x:c>
      <x:c r="G1291" s="145" t="n">
        <x:v>0.03091540594907808</x:v>
      </x:c>
      <x:c r="H1291" s="145" t="n">
        <x:v>0.5</x:v>
      </x:c>
      <x:c r="I1291" s="136" t="str">
        <x:v>NONPOSITIVE-MODEL-MARGIN</x:v>
      </x:c>
      <x:c r="J1291" s="136" t="str">
        <x:v>V0.7-CONTROLLED-RESEARCH-SCREEN-NOT-DISTRIBUTION</x:v>
      </x:c>
    </x:row>
    <x:row r="1292" ht="22" customHeight="1">
      <x:c r="A1292" s="137" t="str">
        <x:v>SCR-1287</x:v>
      </x:c>
      <x:c r="B1292" s="142" t="n">
        <x:v>0.0000015615384615384617</x:v>
      </x:c>
      <x:c r="C1292" s="142" t="n">
        <x:v>0.007307692307692308</x:v>
      </x:c>
      <x:c r="D1292" s="160" t="n">
        <x:v>1</x:v>
      </x:c>
      <x:c r="E1292" s="162" t="n">
        <x:v>-3043.0758930289676</x:v>
      </x:c>
      <x:c r="F1292" s="162" t="n">
        <x:v>0</x:v>
      </x:c>
      <x:c r="G1292" s="144" t="n">
        <x:v>0.03120817335700182</x:v>
      </x:c>
      <x:c r="H1292" s="144" t="n">
        <x:v>0.5</x:v>
      </x:c>
      <x:c r="I1292" s="137" t="str">
        <x:v>NONPOSITIVE-MODEL-MARGIN</x:v>
      </x:c>
      <x:c r="J1292" s="137" t="str">
        <x:v>V0.7-CONTROLLED-RESEARCH-SCREEN-NOT-DISTRIBUTION</x:v>
      </x:c>
    </x:row>
    <x:row r="1293" ht="22" customHeight="1">
      <x:c r="A1293" s="136" t="str">
        <x:v>SCR-1288</x:v>
      </x:c>
      <x:c r="B1293" s="143" t="n">
        <x:v>0.0000015615384615384617</x:v>
      </x:c>
      <x:c r="C1293" s="143" t="n">
        <x:v>0.007615384615384616</x:v>
      </x:c>
      <x:c r="D1293" s="161" t="n">
        <x:v>1</x:v>
      </x:c>
      <x:c r="E1293" s="163" t="n">
        <x:v>-3060.3693559729363</x:v>
      </x:c>
      <x:c r="F1293" s="163" t="n">
        <x:v>0</x:v>
      </x:c>
      <x:c r="G1293" s="145" t="n">
        <x:v>0.031500940764925545</x:v>
      </x:c>
      <x:c r="H1293" s="145" t="n">
        <x:v>0.5</x:v>
      </x:c>
      <x:c r="I1293" s="136" t="str">
        <x:v>NONPOSITIVE-MODEL-MARGIN</x:v>
      </x:c>
      <x:c r="J1293" s="136" t="str">
        <x:v>V0.7-CONTROLLED-RESEARCH-SCREEN-NOT-DISTRIBUTION</x:v>
      </x:c>
    </x:row>
    <x:row r="1294" ht="22" customHeight="1">
      <x:c r="A1294" s="137" t="str">
        <x:v>SCR-1289</x:v>
      </x:c>
      <x:c r="B1294" s="142" t="n">
        <x:v>0.0000015615384615384617</x:v>
      </x:c>
      <x:c r="C1294" s="142" t="n">
        <x:v>0.007923076923076923</x:v>
      </x:c>
      <x:c r="D1294" s="160" t="n">
        <x:v>1</x:v>
      </x:c>
      <x:c r="E1294" s="162" t="n">
        <x:v>-3077.617460647638</x:v>
      </x:c>
      <x:c r="F1294" s="162" t="n">
        <x:v>0</x:v>
      </x:c>
      <x:c r="G1294" s="144" t="n">
        <x:v>0.03179370817284928</x:v>
      </x:c>
      <x:c r="H1294" s="144" t="n">
        <x:v>0.5</x:v>
      </x:c>
      <x:c r="I1294" s="137" t="str">
        <x:v>NONPOSITIVE-MODEL-MARGIN</x:v>
      </x:c>
      <x:c r="J1294" s="137" t="str">
        <x:v>V0.7-CONTROLLED-RESEARCH-SCREEN-NOT-DISTRIBUTION</x:v>
      </x:c>
    </x:row>
    <x:row r="1295" ht="22" customHeight="1">
      <x:c r="A1295" s="136" t="str">
        <x:v>SCR-1290</x:v>
      </x:c>
      <x:c r="B1295" s="143" t="n">
        <x:v>0.0000015615384615384617</x:v>
      </x:c>
      <x:c r="C1295" s="143" t="n">
        <x:v>0.00823076923076923</x:v>
      </x:c>
      <x:c r="D1295" s="161" t="n">
        <x:v>1</x:v>
      </x:c>
      <x:c r="E1295" s="163" t="n">
        <x:v>-3094.820538943504</x:v>
      </x:c>
      <x:c r="F1295" s="163" t="n">
        <x:v>0</x:v>
      </x:c>
      <x:c r="G1295" s="145" t="n">
        <x:v>0.03208647558077301</x:v>
      </x:c>
      <x:c r="H1295" s="145" t="n">
        <x:v>0.5</x:v>
      </x:c>
      <x:c r="I1295" s="136" t="str">
        <x:v>NONPOSITIVE-MODEL-MARGIN</x:v>
      </x:c>
      <x:c r="J1295" s="136" t="str">
        <x:v>V0.7-CONTROLLED-RESEARCH-SCREEN-NOT-DISTRIBUTION</x:v>
      </x:c>
    </x:row>
    <x:row r="1296" ht="22" customHeight="1">
      <x:c r="A1296" s="137" t="str">
        <x:v>SCR-1291</x:v>
      </x:c>
      <x:c r="B1296" s="142" t="n">
        <x:v>0.0000015615384615384617</x:v>
      </x:c>
      <x:c r="C1296" s="142" t="n">
        <x:v>0.00853846153846154</x:v>
      </x:c>
      <x:c r="D1296" s="160" t="n">
        <x:v>1</x:v>
      </x:c>
      <x:c r="E1296" s="162" t="n">
        <x:v>-3111.9789179111085</x:v>
      </x:c>
      <x:c r="F1296" s="162" t="n">
        <x:v>0</x:v>
      </x:c>
      <x:c r="G1296" s="144" t="n">
        <x:v>0.03237924298869674</x:v>
      </x:c>
      <x:c r="H1296" s="144" t="n">
        <x:v>0.5</x:v>
      </x:c>
      <x:c r="I1296" s="137" t="str">
        <x:v>NONPOSITIVE-MODEL-MARGIN</x:v>
      </x:c>
      <x:c r="J1296" s="137" t="str">
        <x:v>V0.7-CONTROLLED-RESEARCH-SCREEN-NOT-DISTRIBUTION</x:v>
      </x:c>
    </x:row>
    <x:row r="1297" ht="22" customHeight="1">
      <x:c r="A1297" s="136" t="str">
        <x:v>SCR-1292</x:v>
      </x:c>
      <x:c r="B1297" s="143" t="n">
        <x:v>0.0000015615384615384617</x:v>
      </x:c>
      <x:c r="C1297" s="143" t="n">
        <x:v>0.008846153846153847</x:v>
      </x:c>
      <x:c r="D1297" s="161" t="n">
        <x:v>1</x:v>
      </x:c>
      <x:c r="E1297" s="163" t="n">
        <x:v>-3129.092919859374</x:v>
      </x:c>
      <x:c r="F1297" s="163" t="n">
        <x:v>0</x:v>
      </x:c>
      <x:c r="G1297" s="145" t="n">
        <x:v>0.032672010396620474</x:v>
      </x:c>
      <x:c r="H1297" s="145" t="n">
        <x:v>0.5</x:v>
      </x:c>
      <x:c r="I1297" s="136" t="str">
        <x:v>NONPOSITIVE-MODEL-MARGIN</x:v>
      </x:c>
      <x:c r="J1297" s="136" t="str">
        <x:v>V0.7-CONTROLLED-RESEARCH-SCREEN-NOT-DISTRIBUTION</x:v>
      </x:c>
    </x:row>
    <x:row r="1298" ht="22" customHeight="1">
      <x:c r="A1298" s="137" t="str">
        <x:v>SCR-1293</x:v>
      </x:c>
      <x:c r="B1298" s="142" t="n">
        <x:v>0.0000015615384615384617</x:v>
      </x:c>
      <x:c r="C1298" s="142" t="n">
        <x:v>0.009153846153846155</x:v>
      </x:c>
      <x:c r="D1298" s="160" t="n">
        <x:v>1</x:v>
      </x:c>
      <x:c r="E1298" s="162" t="n">
        <x:v>-3146.1628624514833</x:v>
      </x:c>
      <x:c r="F1298" s="162" t="n">
        <x:v>0</x:v>
      </x:c>
      <x:c r="G1298" s="144" t="n">
        <x:v>0.0329647778045442</x:v>
      </x:c>
      <x:c r="H1298" s="144" t="n">
        <x:v>0.5</x:v>
      </x:c>
      <x:c r="I1298" s="137" t="str">
        <x:v>NONPOSITIVE-MODEL-MARGIN</x:v>
      </x:c>
      <x:c r="J1298" s="137" t="str">
        <x:v>V0.7-CONTROLLED-RESEARCH-SCREEN-NOT-DISTRIBUTION</x:v>
      </x:c>
    </x:row>
    <x:row r="1299" ht="22" customHeight="1">
      <x:c r="A1299" s="136" t="str">
        <x:v>SCR-1294</x:v>
      </x:c>
      <x:c r="B1299" s="143" t="n">
        <x:v>0.0000015615384615384617</x:v>
      </x:c>
      <x:c r="C1299" s="143" t="n">
        <x:v>0.009461538461538462</x:v>
      </x:c>
      <x:c r="D1299" s="161" t="n">
        <x:v>1</x:v>
      </x:c>
      <x:c r="E1299" s="163" t="n">
        <x:v>-3163.1890587985026</x:v>
      </x:c>
      <x:c r="F1299" s="163" t="n">
        <x:v>0</x:v>
      </x:c>
      <x:c r="G1299" s="145" t="n">
        <x:v>0.03325754521246794</x:v>
      </x:c>
      <x:c r="H1299" s="145" t="n">
        <x:v>0.5</x:v>
      </x:c>
      <x:c r="I1299" s="136" t="str">
        <x:v>NONPOSITIVE-MODEL-MARGIN</x:v>
      </x:c>
      <x:c r="J1299" s="136" t="str">
        <x:v>V0.7-CONTROLLED-RESEARCH-SCREEN-NOT-DISTRIBUTION</x:v>
      </x:c>
    </x:row>
    <x:row r="1300" ht="22" customHeight="1">
      <x:c r="A1300" s="137" t="str">
        <x:v>SCR-1295</x:v>
      </x:c>
      <x:c r="B1300" s="142" t="n">
        <x:v>0.0000015615384615384617</x:v>
      </x:c>
      <x:c r="C1300" s="142" t="n">
        <x:v>0.00976923076923077</x:v>
      </x:c>
      <x:c r="D1300" s="160" t="n">
        <x:v>1</x:v>
      </x:c>
      <x:c r="E1300" s="162" t="n">
        <x:v>-3180.171817550698</x:v>
      </x:c>
      <x:c r="F1300" s="162" t="n">
        <x:v>0</x:v>
      </x:c>
      <x:c r="G1300" s="144" t="n">
        <x:v>0.03355031262039167</x:v>
      </x:c>
      <x:c r="H1300" s="144" t="n">
        <x:v>0.5</x:v>
      </x:c>
      <x:c r="I1300" s="137" t="str">
        <x:v>NONPOSITIVE-MODEL-MARGIN</x:v>
      </x:c>
      <x:c r="J1300" s="137" t="str">
        <x:v>V0.7-CONTROLLED-RESEARCH-SCREEN-NOT-DISTRIBUTION</x:v>
      </x:c>
    </x:row>
    <x:row r="1301" ht="22" customHeight="1">
      <x:c r="A1301" s="136" t="str">
        <x:v>SCR-1296</x:v>
      </x:c>
      <x:c r="B1301" s="143" t="n">
        <x:v>0.0000015615384615384617</x:v>
      </x:c>
      <x:c r="C1301" s="143" t="n">
        <x:v>0.010076923076923077</x:v>
      </x:c>
      <x:c r="D1301" s="161" t="n">
        <x:v>1</x:v>
      </x:c>
      <x:c r="E1301" s="163" t="n">
        <x:v>-3197.111442986747</x:v>
      </x:c>
      <x:c r="F1301" s="163" t="n">
        <x:v>0</x:v>
      </x:c>
      <x:c r="G1301" s="145" t="n">
        <x:v>0.033843080028315396</x:v>
      </x:c>
      <x:c r="H1301" s="145" t="n">
        <x:v>0.5</x:v>
      </x:c>
      <x:c r="I1301" s="136" t="str">
        <x:v>NONPOSITIVE-MODEL-MARGIN</x:v>
      </x:c>
      <x:c r="J1301" s="136" t="str">
        <x:v>V0.7-CONTROLLED-RESEARCH-SCREEN-NOT-DISTRIBUTION</x:v>
      </x:c>
    </x:row>
    <x:row r="1302" ht="22" customHeight="1">
      <x:c r="A1302" s="137" t="str">
        <x:v>SCR-1297</x:v>
      </x:c>
      <x:c r="B1302" s="142" t="n">
        <x:v>0.0000015615384615384617</x:v>
      </x:c>
      <x:c r="C1302" s="142" t="n">
        <x:v>0.010384615384615384</x:v>
      </x:c>
      <x:c r="D1302" s="160" t="n">
        <x:v>1</x:v>
      </x:c>
      <x:c r="E1302" s="162" t="n">
        <x:v>-3214.008235100735</x:v>
      </x:c>
      <x:c r="F1302" s="162" t="n">
        <x:v>0</x:v>
      </x:c>
      <x:c r="G1302" s="144" t="n">
        <x:v>0.03413584743623913</x:v>
      </x:c>
      <x:c r="H1302" s="144" t="n">
        <x:v>0.5</x:v>
      </x:c>
      <x:c r="I1302" s="137" t="str">
        <x:v>NONPOSITIVE-MODEL-MARGIN</x:v>
      </x:c>
      <x:c r="J1302" s="137" t="str">
        <x:v>V0.7-CONTROLLED-RESEARCH-SCREEN-NOT-DISTRIBUTION</x:v>
      </x:c>
    </x:row>
    <x:row r="1303" ht="22" customHeight="1">
      <x:c r="A1303" s="136" t="str">
        <x:v>SCR-1298</x:v>
      </x:c>
      <x:c r="B1303" s="143" t="n">
        <x:v>0.0000015615384615384617</x:v>
      </x:c>
      <x:c r="C1303" s="143" t="n">
        <x:v>0.010692307692307692</x:v>
      </x:c>
      <x:c r="D1303" s="161" t="n">
        <x:v>1</x:v>
      </x:c>
      <x:c r="E1303" s="163" t="n">
        <x:v>-3230.862489687105</x:v>
      </x:c>
      <x:c r="F1303" s="163" t="n">
        <x:v>0</x:v>
      </x:c>
      <x:c r="G1303" s="145" t="n">
        <x:v>0.03442861484416287</x:v>
      </x:c>
      <x:c r="H1303" s="145" t="n">
        <x:v>0.5</x:v>
      </x:c>
      <x:c r="I1303" s="136" t="str">
        <x:v>NONPOSITIVE-MODEL-MARGIN</x:v>
      </x:c>
      <x:c r="J1303" s="136" t="str">
        <x:v>V0.7-CONTROLLED-RESEARCH-SCREEN-NOT-DISTRIBUTION</x:v>
      </x:c>
    </x:row>
    <x:row r="1304" ht="22" customHeight="1">
      <x:c r="A1304" s="137" t="str">
        <x:v>SCR-1299</x:v>
      </x:c>
      <x:c r="B1304" s="142" t="n">
        <x:v>0.0000015615384615384617</x:v>
      </x:c>
      <x:c r="C1304" s="142" t="n">
        <x:v>0.011</x:v>
      </x:c>
      <x:c r="D1304" s="160" t="n">
        <x:v>1</x:v>
      </x:c>
      <x:c r="E1304" s="162" t="n">
        <x:v>-3247.6744984235866</x:v>
      </x:c>
      <x:c r="F1304" s="162" t="n">
        <x:v>0</x:v>
      </x:c>
      <x:c r="G1304" s="144" t="n">
        <x:v>0.034721382252086604</x:v>
      </x:c>
      <x:c r="H1304" s="144" t="n">
        <x:v>0.5</x:v>
      </x:c>
      <x:c r="I1304" s="137" t="str">
        <x:v>NONPOSITIVE-MODEL-MARGIN</x:v>
      </x:c>
      <x:c r="J1304" s="137" t="str">
        <x:v>V0.7-CONTROLLED-RESEARCH-SCREEN-NOT-DISTRIBUTION</x:v>
      </x:c>
    </x:row>
    <x:row r="1305" ht="22" customHeight="1">
      <x:c r="A1305" s="136" t="str">
        <x:v>SCR-1300</x:v>
      </x:c>
      <x:c r="B1305" s="143" t="n">
        <x:v>0.0000015615384615384617</x:v>
      </x:c>
      <x:c r="C1305" s="143" t="n">
        <x:v>0.011307692307692307</x:v>
      </x:c>
      <x:c r="D1305" s="161" t="n">
        <x:v>1</x:v>
      </x:c>
      <x:c r="E1305" s="163" t="n">
        <x:v>-3264.444548952091</x:v>
      </x:c>
      <x:c r="F1305" s="163" t="n">
        <x:v>0</x:v>
      </x:c>
      <x:c r="G1305" s="145" t="n">
        <x:v>0.035014149660010326</x:v>
      </x:c>
      <x:c r="H1305" s="145" t="n">
        <x:v>0.5</x:v>
      </x:c>
      <x:c r="I1305" s="136" t="str">
        <x:v>NONPOSITIVE-MODEL-MARGIN</x:v>
      </x:c>
      <x:c r="J1305" s="136" t="str">
        <x:v>V0.7-CONTROLLED-RESEARCH-SCREEN-NOT-DISTRIBUTION</x:v>
      </x:c>
    </x:row>
    <x:row r="1306" ht="22" customHeight="1">
      <x:c r="A1306" s="137" t="str">
        <x:v>SCR-1301</x:v>
      </x:c>
      <x:c r="B1306" s="142" t="n">
        <x:v>0.0000015615384615384617</x:v>
      </x:c>
      <x:c r="C1306" s="142" t="n">
        <x:v>0.011615384615384614</x:v>
      </x:c>
      <x:c r="D1306" s="160" t="n">
        <x:v>1</x:v>
      </x:c>
      <x:c r="E1306" s="162" t="n">
        <x:v>-3281.1729249576865</x:v>
      </x:c>
      <x:c r="F1306" s="162" t="n">
        <x:v>0</x:v>
      </x:c>
      <x:c r="G1306" s="144" t="n">
        <x:v>0.03530691706793406</x:v>
      </x:c>
      <x:c r="H1306" s="144" t="n">
        <x:v>0.5</x:v>
      </x:c>
      <x:c r="I1306" s="137" t="str">
        <x:v>NONPOSITIVE-MODEL-MARGIN</x:v>
      </x:c>
      <x:c r="J1306" s="137" t="str">
        <x:v>V0.7-CONTROLLED-RESEARCH-SCREEN-NOT-DISTRIBUTION</x:v>
      </x:c>
    </x:row>
    <x:row r="1307" ht="22" customHeight="1">
      <x:c r="A1307" s="136" t="str">
        <x:v>SCR-1302</x:v>
      </x:c>
      <x:c r="B1307" s="143" t="n">
        <x:v>0.0000015615384615384617</x:v>
      </x:c>
      <x:c r="C1307" s="143" t="n">
        <x:v>0.011923076923076925</x:v>
      </x:c>
      <x:c r="D1307" s="161" t="n">
        <x:v>1</x:v>
      </x:c>
      <x:c r="E1307" s="163" t="n">
        <x:v>-3297.859906245733</x:v>
      </x:c>
      <x:c r="F1307" s="163" t="n">
        <x:v>0</x:v>
      </x:c>
      <x:c r="G1307" s="145" t="n">
        <x:v>0.03559968447585779</x:v>
      </x:c>
      <x:c r="H1307" s="145" t="n">
        <x:v>0.5</x:v>
      </x:c>
      <x:c r="I1307" s="136" t="str">
        <x:v>NONPOSITIVE-MODEL-MARGIN</x:v>
      </x:c>
      <x:c r="J1307" s="136" t="str">
        <x:v>V0.7-CONTROLLED-RESEARCH-SCREEN-NOT-DISTRIBUTION</x:v>
      </x:c>
    </x:row>
    <x:row r="1308" ht="22" customHeight="1">
      <x:c r="A1308" s="137" t="str">
        <x:v>SCR-1303</x:v>
      </x:c>
      <x:c r="B1308" s="142" t="n">
        <x:v>0.0000015615384615384617</x:v>
      </x:c>
      <x:c r="C1308" s="142" t="n">
        <x:v>0.012230769230769233</x:v>
      </x:c>
      <x:c r="D1308" s="160" t="n">
        <x:v>1</x:v>
      </x:c>
      <x:c r="E1308" s="162" t="n">
        <x:v>-3314.5057688170905</x:v>
      </x:c>
      <x:c r="F1308" s="162" t="n">
        <x:v>0</x:v>
      </x:c>
      <x:c r="G1308" s="144" t="n">
        <x:v>0.03589245188378151</x:v>
      </x:c>
      <x:c r="H1308" s="144" t="n">
        <x:v>0.5</x:v>
      </x:c>
      <x:c r="I1308" s="137" t="str">
        <x:v>NONPOSITIVE-MODEL-MARGIN</x:v>
      </x:c>
      <x:c r="J1308" s="137" t="str">
        <x:v>V0.7-CONTROLLED-RESEARCH-SCREEN-NOT-DISTRIBUTION</x:v>
      </x:c>
    </x:row>
    <x:row r="1309" ht="22" customHeight="1">
      <x:c r="A1309" s="136" t="str">
        <x:v>SCR-1304</x:v>
      </x:c>
      <x:c r="B1309" s="143" t="n">
        <x:v>0.0000015615384615384617</x:v>
      </x:c>
      <x:c r="C1309" s="143" t="n">
        <x:v>0.01253846153846154</x:v>
      </x:c>
      <x:c r="D1309" s="161" t="n">
        <x:v>1</x:v>
      </x:c>
      <x:c r="E1309" s="163" t="n">
        <x:v>-3331.110784941602</x:v>
      </x:c>
      <x:c r="F1309" s="163" t="n">
        <x:v>0</x:v>
      </x:c>
      <x:c r="G1309" s="145" t="n">
        <x:v>0.036185219291705255</x:v>
      </x:c>
      <x:c r="H1309" s="145" t="n">
        <x:v>0.5</x:v>
      </x:c>
      <x:c r="I1309" s="136" t="str">
        <x:v>NONPOSITIVE-MODEL-MARGIN</x:v>
      </x:c>
      <x:c r="J1309" s="136" t="str">
        <x:v>V0.7-CONTROLLED-RESEARCH-SCREEN-NOT-DISTRIBUTION</x:v>
      </x:c>
    </x:row>
    <x:row r="1310" ht="22" customHeight="1">
      <x:c r="A1310" s="137" t="str">
        <x:v>SCR-1305</x:v>
      </x:c>
      <x:c r="B1310" s="142" t="n">
        <x:v>0.0000015615384615384617</x:v>
      </x:c>
      <x:c r="C1310" s="142" t="n">
        <x:v>0.012846153846153847</x:v>
      </x:c>
      <x:c r="D1310" s="160" t="n">
        <x:v>1</x:v>
      </x:c>
      <x:c r="E1310" s="162" t="n">
        <x:v>-3347.675223229824</x:v>
      </x:c>
      <x:c r="F1310" s="162" t="n">
        <x:v>0</x:v>
      </x:c>
      <x:c r="G1310" s="144" t="n">
        <x:v>0.03647798669962899</x:v>
      </x:c>
      <x:c r="H1310" s="144" t="n">
        <x:v>0.5</x:v>
      </x:c>
      <x:c r="I1310" s="137" t="str">
        <x:v>NONPOSITIVE-MODEL-MARGIN</x:v>
      </x:c>
      <x:c r="J1310" s="137" t="str">
        <x:v>V0.7-CONTROLLED-RESEARCH-SCREEN-NOT-DISTRIBUTION</x:v>
      </x:c>
    </x:row>
    <x:row r="1311" ht="22" customHeight="1">
      <x:c r="A1311" s="136" t="str">
        <x:v>SCR-1306</x:v>
      </x:c>
      <x:c r="B1311" s="143" t="n">
        <x:v>0.0000015615384615384617</x:v>
      </x:c>
      <x:c r="C1311" s="143" t="n">
        <x:v>0.013153846153846155</x:v>
      </x:c>
      <x:c r="D1311" s="161" t="n">
        <x:v>1</x:v>
      </x:c>
      <x:c r="E1311" s="163" t="n">
        <x:v>-3364.199348702996</x:v>
      </x:c>
      <x:c r="F1311" s="163" t="n">
        <x:v>0</x:v>
      </x:c>
      <x:c r="G1311" s="145" t="n">
        <x:v>0.03677075410755272</x:v>
      </x:c>
      <x:c r="H1311" s="145" t="n">
        <x:v>0.5</x:v>
      </x:c>
      <x:c r="I1311" s="136" t="str">
        <x:v>NONPOSITIVE-MODEL-MARGIN</x:v>
      </x:c>
      <x:c r="J1311" s="136" t="str">
        <x:v>V0.7-CONTROLLED-RESEARCH-SCREEN-NOT-DISTRIBUTION</x:v>
      </x:c>
    </x:row>
    <x:row r="1312" ht="22" customHeight="1">
      <x:c r="A1312" s="137" t="str">
        <x:v>SCR-1307</x:v>
      </x:c>
      <x:c r="B1312" s="142" t="n">
        <x:v>0.0000015615384615384617</x:v>
      </x:c>
      <x:c r="C1312" s="142" t="n">
        <x:v>0.013461538461538462</x:v>
      </x:c>
      <x:c r="D1312" s="160" t="n">
        <x:v>1</x:v>
      </x:c>
      <x:c r="E1312" s="162" t="n">
        <x:v>-3380.6834228614393</x:v>
      </x:c>
      <x:c r="F1312" s="162" t="n">
        <x:v>0</x:v>
      </x:c>
      <x:c r="G1312" s="144" t="n">
        <x:v>0.03706352151547645</x:v>
      </x:c>
      <x:c r="H1312" s="144" t="n">
        <x:v>0.5</x:v>
      </x:c>
      <x:c r="I1312" s="137" t="str">
        <x:v>NONPOSITIVE-MODEL-MARGIN</x:v>
      </x:c>
      <x:c r="J1312" s="137" t="str">
        <x:v>V0.7-CONTROLLED-RESEARCH-SCREEN-NOT-DISTRIBUTION</x:v>
      </x:c>
    </x:row>
    <x:row r="1313" ht="22" customHeight="1">
      <x:c r="A1313" s="136" t="str">
        <x:v>SCR-1308</x:v>
      </x:c>
      <x:c r="B1313" s="143" t="n">
        <x:v>0.0000015615384615384617</x:v>
      </x:c>
      <x:c r="C1313" s="143" t="n">
        <x:v>0.01376923076923077</x:v>
      </x:c>
      <x:c r="D1313" s="161" t="n">
        <x:v>1</x:v>
      </x:c>
      <x:c r="E1313" s="163" t="n">
        <x:v>-3397.1277037512596</x:v>
      </x:c>
      <x:c r="F1313" s="163" t="n">
        <x:v>0</x:v>
      </x:c>
      <x:c r="G1313" s="145" t="n">
        <x:v>0.03735628892340019</x:v>
      </x:c>
      <x:c r="H1313" s="145" t="n">
        <x:v>0.5</x:v>
      </x:c>
      <x:c r="I1313" s="136" t="str">
        <x:v>NONPOSITIVE-MODEL-MARGIN</x:v>
      </x:c>
      <x:c r="J1313" s="136" t="str">
        <x:v>V0.7-CONTROLLED-RESEARCH-SCREEN-NOT-DISTRIBUTION</x:v>
      </x:c>
    </x:row>
    <x:row r="1314" ht="22" customHeight="1">
      <x:c r="A1314" s="137" t="str">
        <x:v>SCR-1309</x:v>
      </x:c>
      <x:c r="B1314" s="142" t="n">
        <x:v>0.0000015615384615384617</x:v>
      </x:c>
      <x:c r="C1314" s="142" t="n">
        <x:v>0.014076923076923077</x:v>
      </x:c>
      <x:c r="D1314" s="160" t="n">
        <x:v>1</x:v>
      </x:c>
      <x:c r="E1314" s="162" t="n">
        <x:v>-3413.5324460295205</x:v>
      </x:c>
      <x:c r="F1314" s="162" t="n">
        <x:v>0</x:v>
      </x:c>
      <x:c r="G1314" s="144" t="n">
        <x:v>0.03764905633132391</x:v>
      </x:c>
      <x:c r="H1314" s="144" t="n">
        <x:v>0.5</x:v>
      </x:c>
      <x:c r="I1314" s="137" t="str">
        <x:v>NONPOSITIVE-MODEL-MARGIN</x:v>
      </x:c>
      <x:c r="J1314" s="137" t="str">
        <x:v>V0.7-CONTROLLED-RESEARCH-SCREEN-NOT-DISTRIBUTION</x:v>
      </x:c>
    </x:row>
    <x:row r="1315" ht="22" customHeight="1">
      <x:c r="A1315" s="136" t="str">
        <x:v>SCR-1310</x:v>
      </x:c>
      <x:c r="B1315" s="143" t="n">
        <x:v>0.0000015615384615384617</x:v>
      </x:c>
      <x:c r="C1315" s="143" t="n">
        <x:v>0.014384615384615385</x:v>
      </x:c>
      <x:c r="D1315" s="161" t="n">
        <x:v>1</x:v>
      </x:c>
      <x:c r="E1315" s="163" t="n">
        <x:v>-3429.897901027898</x:v>
      </x:c>
      <x:c r="F1315" s="163" t="n">
        <x:v>0</x:v>
      </x:c>
      <x:c r="G1315" s="145" t="n">
        <x:v>0.03794182373924765</x:v>
      </x:c>
      <x:c r="H1315" s="145" t="n">
        <x:v>0.5</x:v>
      </x:c>
      <x:c r="I1315" s="136" t="str">
        <x:v>NONPOSITIVE-MODEL-MARGIN</x:v>
      </x:c>
      <x:c r="J1315" s="136" t="str">
        <x:v>V0.7-CONTROLLED-RESEARCH-SCREEN-NOT-DISTRIBUTION</x:v>
      </x:c>
    </x:row>
    <x:row r="1316" ht="22" customHeight="1">
      <x:c r="A1316" s="137" t="str">
        <x:v>SCR-1311</x:v>
      </x:c>
      <x:c r="B1316" s="142" t="n">
        <x:v>0.0000015615384615384617</x:v>
      </x:c>
      <x:c r="C1316" s="142" t="n">
        <x:v>0.014692307692307692</x:v>
      </x:c>
      <x:c r="D1316" s="160" t="n">
        <x:v>1</x:v>
      </x:c>
      <x:c r="E1316" s="162" t="n">
        <x:v>-3446.2243168147993</x:v>
      </x:c>
      <x:c r="F1316" s="162" t="n">
        <x:v>0</x:v>
      </x:c>
      <x:c r="G1316" s="144" t="n">
        <x:v>0.038234591147171385</x:v>
      </x:c>
      <x:c r="H1316" s="144" t="n">
        <x:v>0.5</x:v>
      </x:c>
      <x:c r="I1316" s="137" t="str">
        <x:v>NONPOSITIVE-MODEL-MARGIN</x:v>
      </x:c>
      <x:c r="J1316" s="137" t="str">
        <x:v>V0.7-CONTROLLED-RESEARCH-SCREEN-NOT-DISTRIBUTION</x:v>
      </x:c>
    </x:row>
    <x:row r="1317" ht="22" customHeight="1">
      <x:c r="A1317" s="136" t="str">
        <x:v>SCR-1312</x:v>
      </x:c>
      <x:c r="B1317" s="143" t="n">
        <x:v>0.0000015615384615384617</x:v>
      </x:c>
      <x:c r="C1317" s="143" t="n">
        <x:v>0.015</x:v>
      </x:c>
      <x:c r="D1317" s="161" t="n">
        <x:v>1</x:v>
      </x:c>
      <x:c r="E1317" s="163" t="n">
        <x:v>-3462.5119382560415</x:v>
      </x:c>
      <x:c r="F1317" s="163" t="n">
        <x:v>0</x:v>
      </x:c>
      <x:c r="G1317" s="145" t="n">
        <x:v>0.038527358555095106</x:v>
      </x:c>
      <x:c r="H1317" s="145" t="n">
        <x:v>0.5</x:v>
      </x:c>
      <x:c r="I1317" s="136" t="str">
        <x:v>NONPOSITIVE-MODEL-MARGIN</x:v>
      </x:c>
      <x:c r="J1317" s="136" t="str">
        <x:v>V0.7-CONTROLLED-RESEARCH-SCREEN-NOT-DISTRIBUTION</x:v>
      </x:c>
    </x:row>
    <x:row r="1318" ht="22" customHeight="1">
      <x:c r="A1318" s="137" t="str">
        <x:v>SCR-1313</x:v>
      </x:c>
      <x:c r="B1318" s="142" t="n">
        <x:v>0.0000016102564102564101</x:v>
      </x:c>
      <x:c r="C1318" s="142" t="n">
        <x:v>0.003</x:v>
      </x:c>
      <x:c r="D1318" s="160" t="n">
        <x:v>1</x:v>
      </x:c>
      <x:c r="E1318" s="162" t="n">
        <x:v>-2841.6843418396575</x:v>
      </x:c>
      <x:c r="F1318" s="162" t="n">
        <x:v>0</x:v>
      </x:c>
      <x:c r="G1318" s="144" t="n">
        <x:v>0.02781003465652868</x:v>
      </x:c>
      <x:c r="H1318" s="144" t="n">
        <x:v>0.5</x:v>
      </x:c>
      <x:c r="I1318" s="137" t="str">
        <x:v>NONPOSITIVE-MODEL-MARGIN</x:v>
      </x:c>
      <x:c r="J1318" s="137" t="str">
        <x:v>V0.7-CONTROLLED-RESEARCH-SCREEN-NOT-DISTRIBUTION</x:v>
      </x:c>
    </x:row>
    <x:row r="1319" ht="22" customHeight="1">
      <x:c r="A1319" s="136" t="str">
        <x:v>SCR-1314</x:v>
      </x:c>
      <x:c r="B1319" s="143" t="n">
        <x:v>0.0000016102564102564101</x:v>
      </x:c>
      <x:c r="C1319" s="143" t="n">
        <x:v>0.003307692307692308</x:v>
      </x:c>
      <x:c r="D1319" s="161" t="n">
        <x:v>1</x:v>
      </x:c>
      <x:c r="E1319" s="163" t="n">
        <x:v>-2859.533722512857</x:v>
      </x:c>
      <x:c r="F1319" s="163" t="n">
        <x:v>0</x:v>
      </x:c>
      <x:c r="G1319" s="145" t="n">
        <x:v>0.028102368347736436</x:v>
      </x:c>
      <x:c r="H1319" s="145" t="n">
        <x:v>0.5</x:v>
      </x:c>
      <x:c r="I1319" s="136" t="str">
        <x:v>NONPOSITIVE-MODEL-MARGIN</x:v>
      </x:c>
      <x:c r="J1319" s="136" t="str">
        <x:v>V0.7-CONTROLLED-RESEARCH-SCREEN-NOT-DISTRIBUTION</x:v>
      </x:c>
    </x:row>
    <x:row r="1320" ht="22" customHeight="1">
      <x:c r="A1320" s="137" t="str">
        <x:v>SCR-1315</x:v>
      </x:c>
      <x:c r="B1320" s="142" t="n">
        <x:v>0.0000016102564102564101</x:v>
      </x:c>
      <x:c r="C1320" s="142" t="n">
        <x:v>0.0036153846153846154</x:v>
      </x:c>
      <x:c r="D1320" s="160" t="n">
        <x:v>1</x:v>
      </x:c>
      <x:c r="E1320" s="162" t="n">
        <x:v>-2877.3335417248436</x:v>
      </x:c>
      <x:c r="F1320" s="162" t="n">
        <x:v>0</x:v>
      </x:c>
      <x:c r="G1320" s="144" t="n">
        <x:v>0.02839470203894419</x:v>
      </x:c>
      <x:c r="H1320" s="144" t="n">
        <x:v>0.5</x:v>
      </x:c>
      <x:c r="I1320" s="137" t="str">
        <x:v>NONPOSITIVE-MODEL-MARGIN</x:v>
      </x:c>
      <x:c r="J1320" s="137" t="str">
        <x:v>V0.7-CONTROLLED-RESEARCH-SCREEN-NOT-DISTRIBUTION</x:v>
      </x:c>
    </x:row>
    <x:row r="1321" ht="22" customHeight="1">
      <x:c r="A1321" s="136" t="str">
        <x:v>SCR-1316</x:v>
      </x:c>
      <x:c r="B1321" s="143" t="n">
        <x:v>0.0000016102564102564101</x:v>
      </x:c>
      <x:c r="C1321" s="143" t="n">
        <x:v>0.003923076923076923</x:v>
      </x:c>
      <x:c r="D1321" s="161" t="n">
        <x:v>1</x:v>
      </x:c>
      <x:c r="E1321" s="163" t="n">
        <x:v>-2895.0841951113734</x:v>
      </x:c>
      <x:c r="F1321" s="163" t="n">
        <x:v>0</x:v>
      </x:c>
      <x:c r="G1321" s="145" t="n">
        <x:v>0.028687035730151942</x:v>
      </x:c>
      <x:c r="H1321" s="145" t="n">
        <x:v>0.5</x:v>
      </x:c>
      <x:c r="I1321" s="136" t="str">
        <x:v>NONPOSITIVE-MODEL-MARGIN</x:v>
      </x:c>
      <x:c r="J1321" s="136" t="str">
        <x:v>V0.7-CONTROLLED-RESEARCH-SCREEN-NOT-DISTRIBUTION</x:v>
      </x:c>
    </x:row>
    <x:row r="1322" ht="22" customHeight="1">
      <x:c r="A1322" s="137" t="str">
        <x:v>SCR-1317</x:v>
      </x:c>
      <x:c r="B1322" s="142" t="n">
        <x:v>0.0000016102564102564101</x:v>
      </x:c>
      <x:c r="C1322" s="142" t="n">
        <x:v>0.004230769230769231</x:v>
      </x:c>
      <x:c r="D1322" s="160" t="n">
        <x:v>1</x:v>
      </x:c>
      <x:c r="E1322" s="162" t="n">
        <x:v>-2912.7860721452744</x:v>
      </x:c>
      <x:c r="F1322" s="162" t="n">
        <x:v>0</x:v>
      </x:c>
      <x:c r="G1322" s="144" t="n">
        <x:v>0.0289793694213597</x:v>
      </x:c>
      <x:c r="H1322" s="144" t="n">
        <x:v>0.5</x:v>
      </x:c>
      <x:c r="I1322" s="137" t="str">
        <x:v>NONPOSITIVE-MODEL-MARGIN</x:v>
      </x:c>
      <x:c r="J1322" s="137" t="str">
        <x:v>V0.7-CONTROLLED-RESEARCH-SCREEN-NOT-DISTRIBUTION</x:v>
      </x:c>
    </x:row>
    <x:row r="1323" ht="22" customHeight="1">
      <x:c r="A1323" s="136" t="str">
        <x:v>SCR-1318</x:v>
      </x:c>
      <x:c r="B1323" s="143" t="n">
        <x:v>0.0000016102564102564101</x:v>
      </x:c>
      <x:c r="C1323" s="143" t="n">
        <x:v>0.004538461538461538</x:v>
      </x:c>
      <x:c r="D1323" s="161" t="n">
        <x:v>1</x:v>
      </x:c>
      <x:c r="E1323" s="163" t="n">
        <x:v>-2930.4395562656464</x:v>
      </x:c>
      <x:c r="F1323" s="163" t="n">
        <x:v>0</x:v>
      </x:c>
      <x:c r="G1323" s="145" t="n">
        <x:v>0.029271703112567445</x:v>
      </x:c>
      <x:c r="H1323" s="145" t="n">
        <x:v>0.5</x:v>
      </x:c>
      <x:c r="I1323" s="136" t="str">
        <x:v>NONPOSITIVE-MODEL-MARGIN</x:v>
      </x:c>
      <x:c r="J1323" s="136" t="str">
        <x:v>V0.7-CONTROLLED-RESEARCH-SCREEN-NOT-DISTRIBUTION</x:v>
      </x:c>
    </x:row>
    <x:row r="1324" ht="22" customHeight="1">
      <x:c r="A1324" s="137" t="str">
        <x:v>SCR-1319</x:v>
      </x:c>
      <x:c r="B1324" s="142" t="n">
        <x:v>0.0000016102564102564101</x:v>
      </x:c>
      <x:c r="C1324" s="142" t="n">
        <x:v>0.004846153846153846</x:v>
      </x:c>
      <x:c r="D1324" s="160" t="n">
        <x:v>1</x:v>
      </x:c>
      <x:c r="E1324" s="162" t="n">
        <x:v>-2948.0450250040926</x:v>
      </x:c>
      <x:c r="F1324" s="162" t="n">
        <x:v>0</x:v>
      </x:c>
      <x:c r="G1324" s="144" t="n">
        <x:v>0.029564036803775194</x:v>
      </x:c>
      <x:c r="H1324" s="144" t="n">
        <x:v>0.5</x:v>
      </x:c>
      <x:c r="I1324" s="137" t="str">
        <x:v>NONPOSITIVE-MODEL-MARGIN</x:v>
      </x:c>
      <x:c r="J1324" s="137" t="str">
        <x:v>V0.7-CONTROLLED-RESEARCH-SCREEN-NOT-DISTRIBUTION</x:v>
      </x:c>
    </x:row>
    <x:row r="1325" ht="22" customHeight="1">
      <x:c r="A1325" s="136" t="str">
        <x:v>SCR-1320</x:v>
      </x:c>
      <x:c r="B1325" s="143" t="n">
        <x:v>0.0000016102564102564101</x:v>
      </x:c>
      <x:c r="C1325" s="143" t="n">
        <x:v>0.005</x:v>
      </x:c>
      <x:c r="D1325" s="161" t="n">
        <x:v>1</x:v>
      </x:c>
      <x:c r="E1325" s="163" t="n">
        <x:v>-2956.82986999882</x:v>
      </x:c>
      <x:c r="F1325" s="163" t="n">
        <x:v>0</x:v>
      </x:c>
      <x:c r="G1325" s="145" t="n">
        <x:v>0.029710203649379076</x:v>
      </x:c>
      <x:c r="H1325" s="145" t="n">
        <x:v>0.5</x:v>
      </x:c>
      <x:c r="I1325" s="136" t="str">
        <x:v>NONPOSITIVE-MODEL-MARGIN</x:v>
      </x:c>
      <x:c r="J1325" s="136" t="str">
        <x:v>V0.7-CONTROLLED-RESEARCH-SCREEN-NOT-DISTRIBUTION</x:v>
      </x:c>
    </x:row>
    <x:row r="1326" ht="22" customHeight="1">
      <x:c r="A1326" s="137" t="str">
        <x:v>SCR-1321</x:v>
      </x:c>
      <x:c r="B1326" s="142" t="n">
        <x:v>0.0000016102564102564101</x:v>
      </x:c>
      <x:c r="C1326" s="142" t="n">
        <x:v>0.005153846153846154</x:v>
      </x:c>
      <x:c r="D1326" s="160" t="n">
        <x:v>1</x:v>
      </x:c>
      <x:c r="E1326" s="162" t="n">
        <x:v>-2965.602850108146</x:v>
      </x:c>
      <x:c r="F1326" s="162" t="n">
        <x:v>0</x:v>
      </x:c>
      <x:c r="G1326" s="144" t="n">
        <x:v>0.029856370494982958</x:v>
      </x:c>
      <x:c r="H1326" s="144" t="n">
        <x:v>0.5</x:v>
      </x:c>
      <x:c r="I1326" s="137" t="str">
        <x:v>NONPOSITIVE-MODEL-MARGIN</x:v>
      </x:c>
      <x:c r="J1326" s="137" t="str">
        <x:v>V0.7-CONTROLLED-RESEARCH-SCREEN-NOT-DISTRIBUTION</x:v>
      </x:c>
    </x:row>
    <x:row r="1327" ht="22" customHeight="1">
      <x:c r="A1327" s="136" t="str">
        <x:v>SCR-1322</x:v>
      </x:c>
      <x:c r="B1327" s="143" t="n">
        <x:v>0.0000016102564102564101</x:v>
      </x:c>
      <x:c r="C1327" s="143" t="n">
        <x:v>0.005461538461538462</x:v>
      </x:c>
      <x:c r="D1327" s="161" t="n">
        <x:v>1</x:v>
      </x:c>
      <x:c r="E1327" s="163" t="n">
        <x:v>-2983.11339766187</x:v>
      </x:c>
      <x:c r="F1327" s="163" t="n">
        <x:v>0</x:v>
      </x:c>
      <x:c r="G1327" s="145" t="n">
        <x:v>0.030148704186190704</x:v>
      </x:c>
      <x:c r="H1327" s="145" t="n">
        <x:v>0.5</x:v>
      </x:c>
      <x:c r="I1327" s="136" t="str">
        <x:v>NONPOSITIVE-MODEL-MARGIN</x:v>
      </x:c>
      <x:c r="J1327" s="136" t="str">
        <x:v>V0.7-CONTROLLED-RESEARCH-SCREEN-NOT-DISTRIBUTION</x:v>
      </x:c>
    </x:row>
    <x:row r="1328" ht="22" customHeight="1">
      <x:c r="A1328" s="137" t="str">
        <x:v>SCR-1323</x:v>
      </x:c>
      <x:c r="B1328" s="142" t="n">
        <x:v>0.0000016102564102564101</x:v>
      </x:c>
      <x:c r="C1328" s="142" t="n">
        <x:v>0.0057692307692307696</x:v>
      </x:c>
      <x:c r="D1328" s="160" t="n">
        <x:v>1</x:v>
      </x:c>
      <x:c r="E1328" s="162" t="n">
        <x:v>-3000.5770282036447</x:v>
      </x:c>
      <x:c r="F1328" s="162" t="n">
        <x:v>0</x:v>
      </x:c>
      <x:c r="G1328" s="144" t="n">
        <x:v>0.030441037877398464</x:v>
      </x:c>
      <x:c r="H1328" s="144" t="n">
        <x:v>0.5</x:v>
      </x:c>
      <x:c r="I1328" s="137" t="str">
        <x:v>NONPOSITIVE-MODEL-MARGIN</x:v>
      </x:c>
      <x:c r="J1328" s="137" t="str">
        <x:v>V0.7-CONTROLLED-RESEARCH-SCREEN-NOT-DISTRIBUTION</x:v>
      </x:c>
    </x:row>
    <x:row r="1329" ht="22" customHeight="1">
      <x:c r="A1329" s="136" t="str">
        <x:v>SCR-1324</x:v>
      </x:c>
      <x:c r="B1329" s="143" t="n">
        <x:v>0.0000016102564102564101</x:v>
      </x:c>
      <x:c r="C1329" s="143" t="n">
        <x:v>0.006076923076923077</x:v>
      </x:c>
      <x:c r="D1329" s="161" t="n">
        <x:v>1</x:v>
      </x:c>
      <x:c r="E1329" s="163" t="n">
        <x:v>-3021.445287487616</x:v>
      </x:c>
      <x:c r="F1329" s="163" t="n">
        <x:v>0</x:v>
      </x:c>
      <x:c r="G1329" s="145" t="n">
        <x:v>0.030733371568606213</x:v>
      </x:c>
      <x:c r="H1329" s="145" t="n">
        <x:v>0.5</x:v>
      </x:c>
      <x:c r="I1329" s="136" t="str">
        <x:v>NONPOSITIVE-MODEL-MARGIN</x:v>
      </x:c>
      <x:c r="J1329" s="136" t="str">
        <x:v>V0.7-CONTROLLED-RESEARCH-SCREEN-NOT-DISTRIBUTION</x:v>
      </x:c>
    </x:row>
    <x:row r="1330" ht="22" customHeight="1">
      <x:c r="A1330" s="137" t="str">
        <x:v>SCR-1325</x:v>
      </x:c>
      <x:c r="B1330" s="142" t="n">
        <x:v>0.0000016102564102564101</x:v>
      </x:c>
      <x:c r="C1330" s="142" t="n">
        <x:v>0.006384615384615384</x:v>
      </x:c>
      <x:c r="D1330" s="160" t="n">
        <x:v>1</x:v>
      </x:c>
      <x:c r="E1330" s="162" t="n">
        <x:v>-3038.80637538523</x:v>
      </x:c>
      <x:c r="F1330" s="162" t="n">
        <x:v>0</x:v>
      </x:c>
      <x:c r="G1330" s="144" t="n">
        <x:v>0.031025705259813966</x:v>
      </x:c>
      <x:c r="H1330" s="144" t="n">
        <x:v>0.5</x:v>
      </x:c>
      <x:c r="I1330" s="137" t="str">
        <x:v>NONPOSITIVE-MODEL-MARGIN</x:v>
      </x:c>
      <x:c r="J1330" s="137" t="str">
        <x:v>V0.7-CONTROLLED-RESEARCH-SCREEN-NOT-DISTRIBUTION</x:v>
      </x:c>
    </x:row>
    <x:row r="1331" ht="22" customHeight="1">
      <x:c r="A1331" s="136" t="str">
        <x:v>SCR-1326</x:v>
      </x:c>
      <x:c r="B1331" s="143" t="n">
        <x:v>0.0000016102564102564101</x:v>
      </x:c>
      <x:c r="C1331" s="143" t="n">
        <x:v>0.006692307692307693</x:v>
      </x:c>
      <x:c r="D1331" s="161" t="n">
        <x:v>1</x:v>
      </x:c>
      <x:c r="E1331" s="163" t="n">
        <x:v>-3056.1216844419455</x:v>
      </x:c>
      <x:c r="F1331" s="163" t="n">
        <x:v>0</x:v>
      </x:c>
      <x:c r="G1331" s="145" t="n">
        <x:v>0.03131803895102172</x:v>
      </x:c>
      <x:c r="H1331" s="145" t="n">
        <x:v>0.5</x:v>
      </x:c>
      <x:c r="I1331" s="136" t="str">
        <x:v>NONPOSITIVE-MODEL-MARGIN</x:v>
      </x:c>
      <x:c r="J1331" s="136" t="str">
        <x:v>V0.7-CONTROLLED-RESEARCH-SCREEN-NOT-DISTRIBUTION</x:v>
      </x:c>
    </x:row>
    <x:row r="1332" ht="22" customHeight="1">
      <x:c r="A1332" s="137" t="str">
        <x:v>SCR-1327</x:v>
      </x:c>
      <x:c r="B1332" s="142" t="n">
        <x:v>0.0000016102564102564101</x:v>
      </x:c>
      <x:c r="C1332" s="142" t="n">
        <x:v>0.007</x:v>
      </x:c>
      <x:c r="D1332" s="160" t="n">
        <x:v>1</x:v>
      </x:c>
      <x:c r="E1332" s="162" t="n">
        <x:v>-3073.391552487493</x:v>
      </x:c>
      <x:c r="F1332" s="162" t="n">
        <x:v>0</x:v>
      </x:c>
      <x:c r="G1332" s="144" t="n">
        <x:v>0.03161037264222947</x:v>
      </x:c>
      <x:c r="H1332" s="144" t="n">
        <x:v>0.5</x:v>
      </x:c>
      <x:c r="I1332" s="137" t="str">
        <x:v>NONPOSITIVE-MODEL-MARGIN</x:v>
      </x:c>
      <x:c r="J1332" s="137" t="str">
        <x:v>V0.7-CONTROLLED-RESEARCH-SCREEN-NOT-DISTRIBUTION</x:v>
      </x:c>
    </x:row>
    <x:row r="1333" ht="22" customHeight="1">
      <x:c r="A1333" s="136" t="str">
        <x:v>SCR-1328</x:v>
      </x:c>
      <x:c r="B1333" s="143" t="n">
        <x:v>0.0000016102564102564101</x:v>
      </x:c>
      <x:c r="C1333" s="143" t="n">
        <x:v>0.007307692307692308</x:v>
      </x:c>
      <x:c r="D1333" s="161" t="n">
        <x:v>1</x:v>
      </x:c>
      <x:c r="E1333" s="163" t="n">
        <x:v>-3090.616312400365</x:v>
      </x:c>
      <x:c r="F1333" s="163" t="n">
        <x:v>0</x:v>
      </x:c>
      <x:c r="G1333" s="145" t="n">
        <x:v>0.031902706333437225</x:v>
      </x:c>
      <x:c r="H1333" s="145" t="n">
        <x:v>0.5</x:v>
      </x:c>
      <x:c r="I1333" s="136" t="str">
        <x:v>NONPOSITIVE-MODEL-MARGIN</x:v>
      </x:c>
      <x:c r="J1333" s="136" t="str">
        <x:v>V0.7-CONTROLLED-RESEARCH-SCREEN-NOT-DISTRIBUTION</x:v>
      </x:c>
    </x:row>
    <x:row r="1334" ht="22" customHeight="1">
      <x:c r="A1334" s="137" t="str">
        <x:v>SCR-1329</x:v>
      </x:c>
      <x:c r="B1334" s="142" t="n">
        <x:v>0.0000016102564102564101</x:v>
      </x:c>
      <x:c r="C1334" s="142" t="n">
        <x:v>0.007615384615384616</x:v>
      </x:c>
      <x:c r="D1334" s="160" t="n">
        <x:v>1</x:v>
      </x:c>
      <x:c r="E1334" s="162" t="n">
        <x:v>-3107.796292208262</x:v>
      </x:c>
      <x:c r="F1334" s="162" t="n">
        <x:v>0</x:v>
      </x:c>
      <x:c r="G1334" s="144" t="n">
        <x:v>0.03219504002464498</x:v>
      </x:c>
      <x:c r="H1334" s="144" t="n">
        <x:v>0.5</x:v>
      </x:c>
      <x:c r="I1334" s="137" t="str">
        <x:v>NONPOSITIVE-MODEL-MARGIN</x:v>
      </x:c>
      <x:c r="J1334" s="137" t="str">
        <x:v>V0.7-CONTROLLED-RESEARCH-SCREEN-NOT-DISTRIBUTION</x:v>
      </x:c>
    </x:row>
    <x:row r="1335" ht="22" customHeight="1">
      <x:c r="A1335" s="136" t="str">
        <x:v>SCR-1330</x:v>
      </x:c>
      <x:c r="B1335" s="143" t="n">
        <x:v>0.0000016102564102564101</x:v>
      </x:c>
      <x:c r="C1335" s="143" t="n">
        <x:v>0.007923076923076923</x:v>
      </x:c>
      <x:c r="D1335" s="161" t="n">
        <x:v>1</x:v>
      </x:c>
      <x:c r="E1335" s="163" t="n">
        <x:v>-3124.931815186136</x:v>
      </x:c>
      <x:c r="F1335" s="163" t="n">
        <x:v>0</x:v>
      </x:c>
      <x:c r="G1335" s="145" t="n">
        <x:v>0.03248737371585274</x:v>
      </x:c>
      <x:c r="H1335" s="145" t="n">
        <x:v>0.5</x:v>
      </x:c>
      <x:c r="I1335" s="136" t="str">
        <x:v>NONPOSITIVE-MODEL-MARGIN</x:v>
      </x:c>
      <x:c r="J1335" s="136" t="str">
        <x:v>V0.7-CONTROLLED-RESEARCH-SCREEN-NOT-DISTRIBUTION</x:v>
      </x:c>
    </x:row>
    <x:row r="1336" ht="22" customHeight="1">
      <x:c r="A1336" s="137" t="str">
        <x:v>SCR-1331</x:v>
      </x:c>
      <x:c r="B1336" s="142" t="n">
        <x:v>0.0000016102564102564101</x:v>
      </x:c>
      <x:c r="C1336" s="142" t="n">
        <x:v>0.00823076923076923</x:v>
      </x:c>
      <x:c r="D1336" s="160" t="n">
        <x:v>1</x:v>
      </x:c>
      <x:c r="E1336" s="162" t="n">
        <x:v>-3142.0231999519483</x:v>
      </x:c>
      <x:c r="F1336" s="162" t="n">
        <x:v>0</x:v>
      </x:c>
      <x:c r="G1336" s="144" t="n">
        <x:v>0.03277970740706049</x:v>
      </x:c>
      <x:c r="H1336" s="144" t="n">
        <x:v>0.5</x:v>
      </x:c>
      <x:c r="I1336" s="137" t="str">
        <x:v>NONPOSITIVE-MODEL-MARGIN</x:v>
      </x:c>
      <x:c r="J1336" s="137" t="str">
        <x:v>V0.7-CONTROLLED-RESEARCH-SCREEN-NOT-DISTRIBUTION</x:v>
      </x:c>
    </x:row>
    <x:row r="1337" ht="22" customHeight="1">
      <x:c r="A1337" s="136" t="str">
        <x:v>SCR-1332</x:v>
      </x:c>
      <x:c r="B1337" s="143" t="n">
        <x:v>0.0000016102564102564101</x:v>
      </x:c>
      <x:c r="C1337" s="143" t="n">
        <x:v>0.00853846153846154</x:v>
      </x:c>
      <x:c r="D1337" s="161" t="n">
        <x:v>1</x:v>
      </x:c>
      <x:c r="E1337" s="163" t="n">
        <x:v>-3159.0707605601565</x:v>
      </x:c>
      <x:c r="F1337" s="163" t="n">
        <x:v>0</x:v>
      </x:c>
      <x:c r="G1337" s="145" t="n">
        <x:v>0.03307204109826824</x:v>
      </x:c>
      <x:c r="H1337" s="145" t="n">
        <x:v>0.5</x:v>
      </x:c>
      <x:c r="I1337" s="136" t="str">
        <x:v>NONPOSITIVE-MODEL-MARGIN</x:v>
      </x:c>
      <x:c r="J1337" s="136" t="str">
        <x:v>V0.7-CONTROLLED-RESEARCH-SCREEN-NOT-DISTRIBUTION</x:v>
      </x:c>
    </x:row>
    <x:row r="1338" ht="22" customHeight="1">
      <x:c r="A1338" s="137" t="str">
        <x:v>SCR-1333</x:v>
      </x:c>
      <x:c r="B1338" s="142" t="n">
        <x:v>0.0000016102564102564101</x:v>
      </x:c>
      <x:c r="C1338" s="142" t="n">
        <x:v>0.008846153846153847</x:v>
      </x:c>
      <x:c r="D1338" s="160" t="n">
        <x:v>1</x:v>
      </x:c>
      <x:c r="E1338" s="162" t="n">
        <x:v>-3172.7084736857396</x:v>
      </x:c>
      <x:c r="F1338" s="162" t="n">
        <x:v>0</x:v>
      </x:c>
      <x:c r="G1338" s="144" t="n">
        <x:v>0.033364374789475994</x:v>
      </x:c>
      <x:c r="H1338" s="144" t="n">
        <x:v>0.5</x:v>
      </x:c>
      <x:c r="I1338" s="137" t="str">
        <x:v>NONPOSITIVE-MODEL-MARGIN</x:v>
      </x:c>
      <x:c r="J1338" s="137" t="str">
        <x:v>V0.7-CONTROLLED-RESEARCH-SCREEN-NOT-DISTRIBUTION</x:v>
      </x:c>
    </x:row>
    <x:row r="1339" ht="22" customHeight="1">
      <x:c r="A1339" s="136" t="str">
        <x:v>SCR-1334</x:v>
      </x:c>
      <x:c r="B1339" s="143" t="n">
        <x:v>0.0000016102564102564101</x:v>
      </x:c>
      <x:c r="C1339" s="143" t="n">
        <x:v>0.009153846153846155</x:v>
      </x:c>
      <x:c r="D1339" s="161" t="n">
        <x:v>1</x:v>
      </x:c>
      <x:c r="E1339" s="163" t="n">
        <x:v>-3189.6783365010165</x:v>
      </x:c>
      <x:c r="F1339" s="163" t="n">
        <x:v>0</x:v>
      </x:c>
      <x:c r="G1339" s="145" t="n">
        <x:v>0.03365670848068375</x:v>
      </x:c>
      <x:c r="H1339" s="145" t="n">
        <x:v>0.5</x:v>
      </x:c>
      <x:c r="I1339" s="136" t="str">
        <x:v>NONPOSITIVE-MODEL-MARGIN</x:v>
      </x:c>
      <x:c r="J1339" s="136" t="str">
        <x:v>V0.7-CONTROLLED-RESEARCH-SCREEN-NOT-DISTRIBUTION</x:v>
      </x:c>
    </x:row>
    <x:row r="1340" ht="22" customHeight="1">
      <x:c r="A1340" s="137" t="str">
        <x:v>SCR-1335</x:v>
      </x:c>
      <x:c r="B1340" s="142" t="n">
        <x:v>0.0000016102564102564101</x:v>
      </x:c>
      <x:c r="C1340" s="142" t="n">
        <x:v>0.009461538461538462</x:v>
      </x:c>
      <x:c r="D1340" s="160" t="n">
        <x:v>1</x:v>
      </x:c>
      <x:c r="E1340" s="162" t="n">
        <x:v>-3206.6052154894924</x:v>
      </x:c>
      <x:c r="F1340" s="162" t="n">
        <x:v>0</x:v>
      </x:c>
      <x:c r="G1340" s="144" t="n">
        <x:v>0.0339490421718915</x:v>
      </x:c>
      <x:c r="H1340" s="144" t="n">
        <x:v>0.5</x:v>
      </x:c>
      <x:c r="I1340" s="137" t="str">
        <x:v>NONPOSITIVE-MODEL-MARGIN</x:v>
      </x:c>
      <x:c r="J1340" s="137" t="str">
        <x:v>V0.7-CONTROLLED-RESEARCH-SCREEN-NOT-DISTRIBUTION</x:v>
      </x:c>
    </x:row>
    <x:row r="1341" ht="22" customHeight="1">
      <x:c r="A1341" s="136" t="str">
        <x:v>SCR-1336</x:v>
      </x:c>
      <x:c r="B1341" s="143" t="n">
        <x:v>0.0000016102564102564101</x:v>
      </x:c>
      <x:c r="C1341" s="143" t="n">
        <x:v>0.00976923076923077</x:v>
      </x:c>
      <x:c r="D1341" s="161" t="n">
        <x:v>1</x:v>
      </x:c>
      <x:c r="E1341" s="163" t="n">
        <x:v>-3223.4894086367535</x:v>
      </x:c>
      <x:c r="F1341" s="163" t="n">
        <x:v>0</x:v>
      </x:c>
      <x:c r="G1341" s="145" t="n">
        <x:v>0.034241375863099256</x:v>
      </x:c>
      <x:c r="H1341" s="145" t="n">
        <x:v>0.5</x:v>
      </x:c>
      <x:c r="I1341" s="136" t="str">
        <x:v>NONPOSITIVE-MODEL-MARGIN</x:v>
      </x:c>
      <x:c r="J1341" s="136" t="str">
        <x:v>V0.7-CONTROLLED-RESEARCH-SCREEN-NOT-DISTRIBUTION</x:v>
      </x:c>
    </x:row>
    <x:row r="1342" ht="22" customHeight="1">
      <x:c r="A1342" s="137" t="str">
        <x:v>SCR-1337</x:v>
      </x:c>
      <x:c r="B1342" s="142" t="n">
        <x:v>0.0000016102564102564101</x:v>
      </x:c>
      <x:c r="C1342" s="142" t="n">
        <x:v>0.010076923076923077</x:v>
      </x:c>
      <x:c r="D1342" s="160" t="n">
        <x:v>1</x:v>
      </x:c>
      <x:c r="E1342" s="162" t="n">
        <x:v>-3240.3312097671087</x:v>
      </x:c>
      <x:c r="F1342" s="162" t="n">
        <x:v>0</x:v>
      </x:c>
      <x:c r="G1342" s="144" t="n">
        <x:v>0.03453370955430701</x:v>
      </x:c>
      <x:c r="H1342" s="144" t="n">
        <x:v>0.5</x:v>
      </x:c>
      <x:c r="I1342" s="137" t="str">
        <x:v>NONPOSITIVE-MODEL-MARGIN</x:v>
      </x:c>
      <x:c r="J1342" s="137" t="str">
        <x:v>V0.7-CONTROLLED-RESEARCH-SCREEN-NOT-DISTRIBUTION</x:v>
      </x:c>
    </x:row>
    <x:row r="1343" ht="22" customHeight="1">
      <x:c r="A1343" s="136" t="str">
        <x:v>SCR-1338</x:v>
      </x:c>
      <x:c r="B1343" s="143" t="n">
        <x:v>0.0000016102564102564101</x:v>
      </x:c>
      <x:c r="C1343" s="143" t="n">
        <x:v>0.010384615384615384</x:v>
      </x:c>
      <x:c r="D1343" s="161" t="n">
        <x:v>1</x:v>
      </x:c>
      <x:c r="E1343" s="163" t="n">
        <x:v>-3257.1309086255937</x:v>
      </x:c>
      <x:c r="F1343" s="163" t="n">
        <x:v>0</x:v>
      </x:c>
      <x:c r="G1343" s="145" t="n">
        <x:v>0.034826043245514755</x:v>
      </x:c>
      <x:c r="H1343" s="145" t="n">
        <x:v>0.5</x:v>
      </x:c>
      <x:c r="I1343" s="136" t="str">
        <x:v>NONPOSITIVE-MODEL-MARGIN</x:v>
      </x:c>
      <x:c r="J1343" s="136" t="str">
        <x:v>V0.7-CONTROLLED-RESEARCH-SCREEN-NOT-DISTRIBUTION</x:v>
      </x:c>
    </x:row>
    <x:row r="1344" ht="22" customHeight="1">
      <x:c r="A1344" s="137" t="str">
        <x:v>SCR-1339</x:v>
      </x:c>
      <x:c r="B1344" s="142" t="n">
        <x:v>0.0000016102564102564101</x:v>
      </x:c>
      <x:c r="C1344" s="142" t="n">
        <x:v>0.010692307692307692</x:v>
      </x:c>
      <x:c r="D1344" s="160" t="n">
        <x:v>1</x:v>
      </x:c>
      <x:c r="E1344" s="162" t="n">
        <x:v>-3273.8887909580762</x:v>
      </x:c>
      <x:c r="F1344" s="162" t="n">
        <x:v>0</x:v>
      </x:c>
      <x:c r="G1344" s="144" t="n">
        <x:v>0.03511837693672252</x:v>
      </x:c>
      <x:c r="H1344" s="144" t="n">
        <x:v>0.5</x:v>
      </x:c>
      <x:c r="I1344" s="137" t="str">
        <x:v>NONPOSITIVE-MODEL-MARGIN</x:v>
      </x:c>
      <x:c r="J1344" s="137" t="str">
        <x:v>V0.7-CONTROLLED-RESEARCH-SCREEN-NOT-DISTRIBUTION</x:v>
      </x:c>
    </x:row>
    <x:row r="1345" ht="22" customHeight="1">
      <x:c r="A1345" s="136" t="str">
        <x:v>SCR-1340</x:v>
      </x:c>
      <x:c r="B1345" s="143" t="n">
        <x:v>0.0000016102564102564101</x:v>
      </x:c>
      <x:c r="C1345" s="143" t="n">
        <x:v>0.011</x:v>
      </x:c>
      <x:c r="D1345" s="161" t="n">
        <x:v>1</x:v>
      </x:c>
      <x:c r="E1345" s="163" t="n">
        <x:v>-3290.6051385894266</x:v>
      </x:c>
      <x:c r="F1345" s="163" t="n">
        <x:v>0</x:v>
      </x:c>
      <x:c r="G1345" s="145" t="n">
        <x:v>0.03541071062793027</x:v>
      </x:c>
      <x:c r="H1345" s="145" t="n">
        <x:v>0.5</x:v>
      </x:c>
      <x:c r="I1345" s="136" t="str">
        <x:v>NONPOSITIVE-MODEL-MARGIN</x:v>
      </x:c>
      <x:c r="J1345" s="136" t="str">
        <x:v>V0.7-CONTROLLED-RESEARCH-SCREEN-NOT-DISTRIBUTION</x:v>
      </x:c>
    </x:row>
    <x:row r="1346" ht="22" customHeight="1">
      <x:c r="A1346" s="137" t="str">
        <x:v>SCR-1341</x:v>
      </x:c>
      <x:c r="B1346" s="142" t="n">
        <x:v>0.0000016102564102564101</x:v>
      </x:c>
      <x:c r="C1346" s="142" t="n">
        <x:v>0.011307692307692307</x:v>
      </x:c>
      <x:c r="D1346" s="160" t="n">
        <x:v>1</x:v>
      </x:c>
      <x:c r="E1346" s="162" t="n">
        <x:v>-3307.2802294997687</x:v>
      </x:c>
      <x:c r="F1346" s="162" t="n">
        <x:v>0</x:v>
      </x:c>
      <x:c r="G1346" s="144" t="n">
        <x:v>0.03570304431913802</x:v>
      </x:c>
      <x:c r="H1346" s="144" t="n">
        <x:v>0.5</x:v>
      </x:c>
      <x:c r="I1346" s="137" t="str">
        <x:v>NONPOSITIVE-MODEL-MARGIN</x:v>
      </x:c>
      <x:c r="J1346" s="137" t="str">
        <x:v>V0.7-CONTROLLED-RESEARCH-SCREEN-NOT-DISTRIBUTION</x:v>
      </x:c>
    </x:row>
    <x:row r="1347" ht="22" customHeight="1">
      <x:c r="A1347" s="136" t="str">
        <x:v>SCR-1342</x:v>
      </x:c>
      <x:c r="B1347" s="143" t="n">
        <x:v>0.0000016102564102564101</x:v>
      </x:c>
      <x:c r="C1347" s="143" t="n">
        <x:v>0.011615384615384614</x:v>
      </x:c>
      <x:c r="D1347" s="161" t="n">
        <x:v>1</x:v>
      </x:c>
      <x:c r="E1347" s="163" t="n">
        <x:v>-3323.9143378989893</x:v>
      </x:c>
      <x:c r="F1347" s="163" t="n">
        <x:v>0</x:v>
      </x:c>
      <x:c r="G1347" s="145" t="n">
        <x:v>0.03599537801034578</x:v>
      </x:c>
      <x:c r="H1347" s="145" t="n">
        <x:v>0.5</x:v>
      </x:c>
      <x:c r="I1347" s="136" t="str">
        <x:v>NONPOSITIVE-MODEL-MARGIN</x:v>
      </x:c>
      <x:c r="J1347" s="136" t="str">
        <x:v>V0.7-CONTROLLED-RESEARCH-SCREEN-NOT-DISTRIBUTION</x:v>
      </x:c>
    </x:row>
    <x:row r="1348" ht="22" customHeight="1">
      <x:c r="A1348" s="137" t="str">
        <x:v>SCR-1343</x:v>
      </x:c>
      <x:c r="B1348" s="142" t="n">
        <x:v>0.0000016102564102564101</x:v>
      </x:c>
      <x:c r="C1348" s="142" t="n">
        <x:v>0.011923076923076925</x:v>
      </x:c>
      <x:c r="D1348" s="160" t="n">
        <x:v>1</x:v>
      </x:c>
      <x:c r="E1348" s="162" t="n">
        <x:v>-3340.50773429941</x:v>
      </x:c>
      <x:c r="F1348" s="162" t="n">
        <x:v>0</x:v>
      </x:c>
      <x:c r="G1348" s="144" t="n">
        <x:v>0.03628771170155353</x:v>
      </x:c>
      <x:c r="H1348" s="144" t="n">
        <x:v>0.5</x:v>
      </x:c>
      <x:c r="I1348" s="137" t="str">
        <x:v>NONPOSITIVE-MODEL-MARGIN</x:v>
      </x:c>
      <x:c r="J1348" s="137" t="str">
        <x:v>V0.7-CONTROLLED-RESEARCH-SCREEN-NOT-DISTRIBUTION</x:v>
      </x:c>
    </x:row>
    <x:row r="1349" ht="22" customHeight="1">
      <x:c r="A1349" s="136" t="str">
        <x:v>SCR-1344</x:v>
      </x:c>
      <x:c r="B1349" s="143" t="n">
        <x:v>0.0000016102564102564101</x:v>
      </x:c>
      <x:c r="C1349" s="143" t="n">
        <x:v>0.012230769230769233</x:v>
      </x:c>
      <x:c r="D1349" s="161" t="n">
        <x:v>1</x:v>
      </x:c>
      <x:c r="E1349" s="163" t="n">
        <x:v>-3357.0606855867404</x:v>
      </x:c>
      <x:c r="F1349" s="163" t="n">
        <x:v>0</x:v>
      </x:c>
      <x:c r="G1349" s="145" t="n">
        <x:v>0.03658004539276128</x:v>
      </x:c>
      <x:c r="H1349" s="145" t="n">
        <x:v>0.5</x:v>
      </x:c>
      <x:c r="I1349" s="136" t="str">
        <x:v>NONPOSITIVE-MODEL-MARGIN</x:v>
      </x:c>
      <x:c r="J1349" s="136" t="str">
        <x:v>V0.7-CONTROLLED-RESEARCH-SCREEN-NOT-DISTRIBUTION</x:v>
      </x:c>
    </x:row>
    <x:row r="1350" ht="22" customHeight="1">
      <x:c r="A1350" s="137" t="str">
        <x:v>SCR-1345</x:v>
      </x:c>
      <x:c r="B1350" s="142" t="n">
        <x:v>0.0000016102564102564101</x:v>
      </x:c>
      <x:c r="C1350" s="142" t="n">
        <x:v>0.01253846153846154</x:v>
      </x:c>
      <x:c r="D1350" s="160" t="n">
        <x:v>1</x:v>
      </x:c>
      <x:c r="E1350" s="162" t="n">
        <x:v>-3373.573455089363</x:v>
      </x:c>
      <x:c r="F1350" s="162" t="n">
        <x:v>0</x:v>
      </x:c>
      <x:c r="G1350" s="144" t="n">
        <x:v>0.03687237908396903</x:v>
      </x:c>
      <x:c r="H1350" s="144" t="n">
        <x:v>0.5</x:v>
      </x:c>
      <x:c r="I1350" s="137" t="str">
        <x:v>NONPOSITIVE-MODEL-MARGIN</x:v>
      </x:c>
      <x:c r="J1350" s="137" t="str">
        <x:v>V0.7-CONTROLLED-RESEARCH-SCREEN-NOT-DISTRIBUTION</x:v>
      </x:c>
    </x:row>
    <x:row r="1351" ht="22" customHeight="1">
      <x:c r="A1351" s="136" t="str">
        <x:v>SCR-1346</x:v>
      </x:c>
      <x:c r="B1351" s="143" t="n">
        <x:v>0.0000016102564102564101</x:v>
      </x:c>
      <x:c r="C1351" s="143" t="n">
        <x:v>0.012846153846153847</x:v>
      </x:c>
      <x:c r="D1351" s="161" t="n">
        <x:v>1</x:v>
      </x:c>
      <x:c r="E1351" s="163" t="n">
        <x:v>-3390.046302645987</x:v>
      </x:c>
      <x:c r="F1351" s="163" t="n">
        <x:v>0</x:v>
      </x:c>
      <x:c r="G1351" s="145" t="n">
        <x:v>0.03716471277517679</x:v>
      </x:c>
      <x:c r="H1351" s="145" t="n">
        <x:v>0.5</x:v>
      </x:c>
      <x:c r="I1351" s="136" t="str">
        <x:v>NONPOSITIVE-MODEL-MARGIN</x:v>
      </x:c>
      <x:c r="J1351" s="136" t="str">
        <x:v>V0.7-CONTROLLED-RESEARCH-SCREEN-NOT-DISTRIBUTION</x:v>
      </x:c>
    </x:row>
    <x:row r="1352" ht="22" customHeight="1">
      <x:c r="A1352" s="137" t="str">
        <x:v>SCR-1347</x:v>
      </x:c>
      <x:c r="B1352" s="142" t="n">
        <x:v>0.0000016102564102564101</x:v>
      </x:c>
      <x:c r="C1352" s="142" t="n">
        <x:v>0.013153846153846155</x:v>
      </x:c>
      <x:c r="D1352" s="160" t="n">
        <x:v>1</x:v>
      </x:c>
      <x:c r="E1352" s="162" t="n">
        <x:v>-3406.4794846716436</x:v>
      </x:c>
      <x:c r="F1352" s="162" t="n">
        <x:v>0</x:v>
      </x:c>
      <x:c r="G1352" s="144" t="n">
        <x:v>0.037457046466384536</x:v>
      </x:c>
      <x:c r="H1352" s="144" t="n">
        <x:v>0.5</x:v>
      </x:c>
      <x:c r="I1352" s="137" t="str">
        <x:v>NONPOSITIVE-MODEL-MARGIN</x:v>
      </x:c>
      <x:c r="J1352" s="137" t="str">
        <x:v>V0.7-CONTROLLED-RESEARCH-SCREEN-NOT-DISTRIBUTION</x:v>
      </x:c>
    </x:row>
    <x:row r="1353" ht="22" customHeight="1">
      <x:c r="A1353" s="136" t="str">
        <x:v>SCR-1348</x:v>
      </x:c>
      <x:c r="B1353" s="143" t="n">
        <x:v>0.0000016102564102564101</x:v>
      </x:c>
      <x:c r="C1353" s="143" t="n">
        <x:v>0.013461538461538462</x:v>
      </x:c>
      <x:c r="D1353" s="161" t="n">
        <x:v>1</x:v>
      </x:c>
      <x:c r="E1353" s="163" t="n">
        <x:v>-3422.8732542222097</x:v>
      </x:c>
      <x:c r="F1353" s="163" t="n">
        <x:v>0</x:v>
      </x:c>
      <x:c r="G1353" s="145" t="n">
        <x:v>0.03774938015759229</x:v>
      </x:c>
      <x:c r="H1353" s="145" t="n">
        <x:v>0.5</x:v>
      </x:c>
      <x:c r="I1353" s="136" t="str">
        <x:v>NONPOSITIVE-MODEL-MARGIN</x:v>
      </x:c>
      <x:c r="J1353" s="136" t="str">
        <x:v>V0.7-CONTROLLED-RESEARCH-SCREEN-NOT-DISTRIBUTION</x:v>
      </x:c>
    </x:row>
    <x:row r="1354" ht="22" customHeight="1">
      <x:c r="A1354" s="137" t="str">
        <x:v>SCR-1349</x:v>
      </x:c>
      <x:c r="B1354" s="142" t="n">
        <x:v>0.0000016102564102564101</x:v>
      </x:c>
      <x:c r="C1354" s="142" t="n">
        <x:v>0.01376923076923077</x:v>
      </x:c>
      <x:c r="D1354" s="160" t="n">
        <x:v>1</x:v>
      </x:c>
      <x:c r="E1354" s="162" t="n">
        <x:v>-3439.227861057331</x:v>
      </x:c>
      <x:c r="F1354" s="162" t="n">
        <x:v>0</x:v>
      </x:c>
      <x:c r="G1354" s="144" t="n">
        <x:v>0.038041713848800056</x:v>
      </x:c>
      <x:c r="H1354" s="144" t="n">
        <x:v>0.5</x:v>
      </x:c>
      <x:c r="I1354" s="137" t="str">
        <x:v>NONPOSITIVE-MODEL-MARGIN</x:v>
      </x:c>
      <x:c r="J1354" s="137" t="str">
        <x:v>V0.7-CONTROLLED-RESEARCH-SCREEN-NOT-DISTRIBUTION</x:v>
      </x:c>
    </x:row>
    <x:row r="1355" ht="22" customHeight="1">
      <x:c r="A1355" s="136" t="str">
        <x:v>SCR-1350</x:v>
      </x:c>
      <x:c r="B1355" s="143" t="n">
        <x:v>0.0000016102564102564101</x:v>
      </x:c>
      <x:c r="C1355" s="143" t="n">
        <x:v>0.014076923076923077</x:v>
      </x:c>
      <x:c r="D1355" s="161" t="n">
        <x:v>1</x:v>
      </x:c>
      <x:c r="E1355" s="163" t="n">
        <x:v>-3455.543551701954</x:v>
      </x:c>
      <x:c r="F1355" s="163" t="n">
        <x:v>0</x:v>
      </x:c>
      <x:c r="G1355" s="145" t="n">
        <x:v>0.0383340475400078</x:v>
      </x:c>
      <x:c r="H1355" s="145" t="n">
        <x:v>0.5</x:v>
      </x:c>
      <x:c r="I1355" s="136" t="str">
        <x:v>NONPOSITIVE-MODEL-MARGIN</x:v>
      </x:c>
      <x:c r="J1355" s="136" t="str">
        <x:v>V0.7-CONTROLLED-RESEARCH-SCREEN-NOT-DISTRIBUTION</x:v>
      </x:c>
    </x:row>
    <x:row r="1356" ht="22" customHeight="1">
      <x:c r="A1356" s="137" t="str">
        <x:v>SCR-1351</x:v>
      </x:c>
      <x:c r="B1356" s="142" t="n">
        <x:v>0.0000016102564102564101</x:v>
      </x:c>
      <x:c r="C1356" s="142" t="n">
        <x:v>0.014384615384615385</x:v>
      </x:c>
      <x:c r="D1356" s="160" t="n">
        <x:v>1</x:v>
      </x:c>
      <x:c r="E1356" s="162" t="n">
        <x:v>-3471.820569506338</x:v>
      </x:c>
      <x:c r="F1356" s="162" t="n">
        <x:v>0</x:v>
      </x:c>
      <x:c r="G1356" s="144" t="n">
        <x:v>0.038626381231215555</x:v>
      </x:c>
      <x:c r="H1356" s="144" t="n">
        <x:v>0.5</x:v>
      </x:c>
      <x:c r="I1356" s="137" t="str">
        <x:v>NONPOSITIVE-MODEL-MARGIN</x:v>
      </x:c>
      <x:c r="J1356" s="137" t="str">
        <x:v>V0.7-CONTROLLED-RESEARCH-SCREEN-NOT-DISTRIBUTION</x:v>
      </x:c>
    </x:row>
    <x:row r="1357" ht="22" customHeight="1">
      <x:c r="A1357" s="136" t="str">
        <x:v>SCR-1352</x:v>
      </x:c>
      <x:c r="B1357" s="143" t="n">
        <x:v>0.0000016102564102564101</x:v>
      </x:c>
      <x:c r="C1357" s="143" t="n">
        <x:v>0.014692307692307692</x:v>
      </x:c>
      <x:c r="D1357" s="161" t="n">
        <x:v>1</x:v>
      </x:c>
      <x:c r="E1357" s="163" t="n">
        <x:v>-3488.0591547047225</x:v>
      </x:c>
      <x:c r="F1357" s="163" t="n">
        <x:v>0</x:v>
      </x:c>
      <x:c r="G1357" s="145" t="n">
        <x:v>0.038918714922423304</x:v>
      </x:c>
      <x:c r="H1357" s="145" t="n">
        <x:v>0.5</x:v>
      </x:c>
      <x:c r="I1357" s="136" t="str">
        <x:v>NONPOSITIVE-MODEL-MARGIN</x:v>
      </x:c>
      <x:c r="J1357" s="136" t="str">
        <x:v>V0.7-CONTROLLED-RESEARCH-SCREEN-NOT-DISTRIBUTION</x:v>
      </x:c>
    </x:row>
    <x:row r="1358" ht="22" customHeight="1">
      <x:c r="A1358" s="137" t="str">
        <x:v>SCR-1353</x:v>
      </x:c>
      <x:c r="B1358" s="142" t="n">
        <x:v>0.0000016102564102564101</x:v>
      </x:c>
      <x:c r="C1358" s="142" t="n">
        <x:v>0.015</x:v>
      </x:c>
      <x:c r="D1358" s="160" t="n">
        <x:v>1</x:v>
      </x:c>
      <x:c r="E1358" s="162" t="n">
        <x:v>-3504.259544472636</x:v>
      </x:c>
      <x:c r="F1358" s="162" t="n">
        <x:v>0</x:v>
      </x:c>
      <x:c r="G1358" s="144" t="n">
        <x:v>0.03921104861363106</x:v>
      </x:c>
      <x:c r="H1358" s="144" t="n">
        <x:v>0.5</x:v>
      </x:c>
      <x:c r="I1358" s="137" t="str">
        <x:v>NONPOSITIVE-MODEL-MARGIN</x:v>
      </x:c>
      <x:c r="J1358" s="137" t="str">
        <x:v>V0.7-CONTROLLED-RESEARCH-SCREEN-NOT-DISTRIBUTION</x:v>
      </x:c>
    </x:row>
    <x:row r="1359" ht="22" customHeight="1">
      <x:c r="A1359" s="136" t="str">
        <x:v>SCR-1354</x:v>
      </x:c>
      <x:c r="B1359" s="143" t="n">
        <x:v>0.000001658974358974359</x:v>
      </x:c>
      <x:c r="C1359" s="143" t="n">
        <x:v>0.003</x:v>
      </x:c>
      <x:c r="D1359" s="161" t="n">
        <x:v>1</x:v>
      </x:c>
      <x:c r="E1359" s="163" t="n">
        <x:v>-2887.092333073377</x:v>
      </x:c>
      <x:c r="F1359" s="163" t="n">
        <x:v>0</x:v>
      </x:c>
      <x:c r="G1359" s="145" t="n">
        <x:v>0.028508566932062825</x:v>
      </x:c>
      <x:c r="H1359" s="145" t="n">
        <x:v>0.5</x:v>
      </x:c>
      <x:c r="I1359" s="136" t="str">
        <x:v>NONPOSITIVE-MODEL-MARGIN</x:v>
      </x:c>
      <x:c r="J1359" s="136" t="str">
        <x:v>V0.7-CONTROLLED-RESEARCH-SCREEN-NOT-DISTRIBUTION</x:v>
      </x:c>
    </x:row>
    <x:row r="1360" ht="22" customHeight="1">
      <x:c r="A1360" s="137" t="str">
        <x:v>SCR-1355</x:v>
      </x:c>
      <x:c r="B1360" s="142" t="n">
        <x:v>0.000001658974358974359</x:v>
      </x:c>
      <x:c r="C1360" s="142" t="n">
        <x:v>0.003307692307692308</x:v>
      </x:c>
      <x:c r="D1360" s="160" t="n">
        <x:v>1</x:v>
      </x:c>
      <x:c r="E1360" s="162" t="n">
        <x:v>-2904.8272802460797</x:v>
      </x:c>
      <x:c r="F1360" s="162" t="n">
        <x:v>0</x:v>
      </x:c>
      <x:c r="G1360" s="144" t="n">
        <x:v>0.028800468189702312</x:v>
      </x:c>
      <x:c r="H1360" s="144" t="n">
        <x:v>0.5</x:v>
      </x:c>
      <x:c r="I1360" s="137" t="str">
        <x:v>NONPOSITIVE-MODEL-MARGIN</x:v>
      </x:c>
      <x:c r="J1360" s="137" t="str">
        <x:v>V0.7-CONTROLLED-RESEARCH-SCREEN-NOT-DISTRIBUTION</x:v>
      </x:c>
    </x:row>
    <x:row r="1361" ht="22" customHeight="1">
      <x:c r="A1361" s="136" t="str">
        <x:v>SCR-1356</x:v>
      </x:c>
      <x:c r="B1361" s="143" t="n">
        <x:v>0.000001658974358974359</x:v>
      </x:c>
      <x:c r="C1361" s="143" t="n">
        <x:v>0.0036153846153846154</x:v>
      </x:c>
      <x:c r="D1361" s="161" t="n">
        <x:v>1</x:v>
      </x:c>
      <x:c r="E1361" s="163" t="n">
        <x:v>-2926.021395587436</x:v>
      </x:c>
      <x:c r="F1361" s="163" t="n">
        <x:v>0</x:v>
      </x:c>
      <x:c r="G1361" s="145" t="n">
        <x:v>0.02909236944734181</x:v>
      </x:c>
      <x:c r="H1361" s="145" t="n">
        <x:v>0.5</x:v>
      </x:c>
      <x:c r="I1361" s="136" t="str">
        <x:v>NONPOSITIVE-MODEL-MARGIN</x:v>
      </x:c>
      <x:c r="J1361" s="136" t="str">
        <x:v>V0.7-CONTROLLED-RESEARCH-SCREEN-NOT-DISTRIBUTION</x:v>
      </x:c>
    </x:row>
    <x:row r="1362" ht="22" customHeight="1">
      <x:c r="A1362" s="137" t="str">
        <x:v>SCR-1357</x:v>
      </x:c>
      <x:c r="B1362" s="142" t="n">
        <x:v>0.000001658974358974359</x:v>
      </x:c>
      <x:c r="C1362" s="142" t="n">
        <x:v>0.003923076923076923</x:v>
      </x:c>
      <x:c r="D1362" s="160" t="n">
        <x:v>1</x:v>
      </x:c>
      <x:c r="E1362" s="162" t="n">
        <x:v>-2943.6492646320467</x:v>
      </x:c>
      <x:c r="F1362" s="162" t="n">
        <x:v>0</x:v>
      </x:c>
      <x:c r="G1362" s="144" t="n">
        <x:v>0.0293842707049813</x:v>
      </x:c>
      <x:c r="H1362" s="144" t="n">
        <x:v>0.5</x:v>
      </x:c>
      <x:c r="I1362" s="137" t="str">
        <x:v>NONPOSITIVE-MODEL-MARGIN</x:v>
      </x:c>
      <x:c r="J1362" s="137" t="str">
        <x:v>V0.7-CONTROLLED-RESEARCH-SCREEN-NOT-DISTRIBUTION</x:v>
      </x:c>
    </x:row>
    <x:row r="1363" ht="22" customHeight="1">
      <x:c r="A1363" s="136" t="str">
        <x:v>SCR-1358</x:v>
      </x:c>
      <x:c r="B1363" s="143" t="n">
        <x:v>0.000001658974358974359</x:v>
      </x:c>
      <x:c r="C1363" s="143" t="n">
        <x:v>0.004230769230769231</x:v>
      </x:c>
      <x:c r="D1363" s="161" t="n">
        <x:v>1</x:v>
      </x:c>
      <x:c r="E1363" s="163" t="n">
        <x:v>-2961.229400486923</x:v>
      </x:c>
      <x:c r="F1363" s="163" t="n">
        <x:v>0</x:v>
      </x:c>
      <x:c r="G1363" s="145" t="n">
        <x:v>0.02967617196262079</x:v>
      </x:c>
      <x:c r="H1363" s="145" t="n">
        <x:v>0.5</x:v>
      </x:c>
      <x:c r="I1363" s="136" t="str">
        <x:v>NONPOSITIVE-MODEL-MARGIN</x:v>
      </x:c>
      <x:c r="J1363" s="136" t="str">
        <x:v>V0.7-CONTROLLED-RESEARCH-SCREEN-NOT-DISTRIBUTION</x:v>
      </x:c>
    </x:row>
    <x:row r="1364" ht="22" customHeight="1">
      <x:c r="A1364" s="137" t="str">
        <x:v>SCR-1359</x:v>
      </x:c>
      <x:c r="B1364" s="142" t="n">
        <x:v>0.000001658974358974359</x:v>
      </x:c>
      <x:c r="C1364" s="142" t="n">
        <x:v>0.004538461538461538</x:v>
      </x:c>
      <x:c r="D1364" s="160" t="n">
        <x:v>1</x:v>
      </x:c>
      <x:c r="E1364" s="162" t="n">
        <x:v>-2978.7621702926267</x:v>
      </x:c>
      <x:c r="F1364" s="162" t="n">
        <x:v>0</x:v>
      </x:c>
      <x:c r="G1364" s="144" t="n">
        <x:v>0.02996807322026029</x:v>
      </x:c>
      <x:c r="H1364" s="144" t="n">
        <x:v>0.5</x:v>
      </x:c>
      <x:c r="I1364" s="137" t="str">
        <x:v>NONPOSITIVE-MODEL-MARGIN</x:v>
      </x:c>
      <x:c r="J1364" s="137" t="str">
        <x:v>V0.7-CONTROLLED-RESEARCH-SCREEN-NOT-DISTRIBUTION</x:v>
      </x:c>
    </x:row>
    <x:row r="1365" ht="22" customHeight="1">
      <x:c r="A1365" s="136" t="str">
        <x:v>SCR-1360</x:v>
      </x:c>
      <x:c r="B1365" s="143" t="n">
        <x:v>0.000001658974358974359</x:v>
      </x:c>
      <x:c r="C1365" s="143" t="n">
        <x:v>0.004846153846153846</x:v>
      </x:c>
      <x:c r="D1365" s="161" t="n">
        <x:v>1</x:v>
      </x:c>
      <x:c r="E1365" s="163" t="n">
        <x:v>-2996.2479356351223</x:v>
      </x:c>
      <x:c r="F1365" s="163" t="n">
        <x:v>0</x:v>
      </x:c>
      <x:c r="G1365" s="145" t="n">
        <x:v>0.030259974477899788</x:v>
      </x:c>
      <x:c r="H1365" s="145" t="n">
        <x:v>0.5</x:v>
      </x:c>
      <x:c r="I1365" s="136" t="str">
        <x:v>NONPOSITIVE-MODEL-MARGIN</x:v>
      </x:c>
      <x:c r="J1365" s="136" t="str">
        <x:v>V0.7-CONTROLLED-RESEARCH-SCREEN-NOT-DISTRIBUTION</x:v>
      </x:c>
    </x:row>
    <x:row r="1366" ht="22" customHeight="1">
      <x:c r="A1366" s="137" t="str">
        <x:v>SCR-1361</x:v>
      </x:c>
      <x:c r="B1366" s="142" t="n">
        <x:v>0.000001658974358974359</x:v>
      </x:c>
      <x:c r="C1366" s="142" t="n">
        <x:v>0.005</x:v>
      </x:c>
      <x:c r="D1366" s="160" t="n">
        <x:v>1</x:v>
      </x:c>
      <x:c r="E1366" s="162" t="n">
        <x:v>-3004.9733031377036</x:v>
      </x:c>
      <x:c r="F1366" s="162" t="n">
        <x:v>0</x:v>
      </x:c>
      <x:c r="G1366" s="144" t="n">
        <x:v>0.030405925106719526</x:v>
      </x:c>
      <x:c r="H1366" s="144" t="n">
        <x:v>0.5</x:v>
      </x:c>
      <x:c r="I1366" s="137" t="str">
        <x:v>NONPOSITIVE-MODEL-MARGIN</x:v>
      </x:c>
      <x:c r="J1366" s="137" t="str">
        <x:v>V0.7-CONTROLLED-RESEARCH-SCREEN-NOT-DISTRIBUTION</x:v>
      </x:c>
    </x:row>
    <x:row r="1367" ht="22" customHeight="1">
      <x:c r="A1367" s="136" t="str">
        <x:v>SCR-1362</x:v>
      </x:c>
      <x:c r="B1367" s="143" t="n">
        <x:v>0.000001658974358974359</x:v>
      </x:c>
      <x:c r="C1367" s="143" t="n">
        <x:v>0.005153846153846154</x:v>
      </x:c>
      <x:c r="D1367" s="161" t="n">
        <x:v>1</x:v>
      </x:c>
      <x:c r="E1367" s="163" t="n">
        <x:v>-3013.687052660379</x:v>
      </x:c>
      <x:c r="F1367" s="163" t="n">
        <x:v>0</x:v>
      </x:c>
      <x:c r="G1367" s="145" t="n">
        <x:v>0.03055187573553927</x:v>
      </x:c>
      <x:c r="H1367" s="145" t="n">
        <x:v>0.5</x:v>
      </x:c>
      <x:c r="I1367" s="136" t="str">
        <x:v>NONPOSITIVE-MODEL-MARGIN</x:v>
      </x:c>
      <x:c r="J1367" s="136" t="str">
        <x:v>V0.7-CONTROLLED-RESEARCH-SCREEN-NOT-DISTRIBUTION</x:v>
      </x:c>
    </x:row>
    <x:row r="1368" ht="22" customHeight="1">
      <x:c r="A1368" s="137" t="str">
        <x:v>SCR-1363</x:v>
      </x:c>
      <x:c r="B1368" s="142" t="n">
        <x:v>0.000001658974358974359</x:v>
      </x:c>
      <x:c r="C1368" s="142" t="n">
        <x:v>0.005461538461538462</x:v>
      </x:c>
      <x:c r="D1368" s="160" t="n">
        <x:v>1</x:v>
      </x:c>
      <x:c r="E1368" s="162" t="n">
        <x:v>-3031.0798721863293</x:v>
      </x:c>
      <x:c r="F1368" s="162" t="n">
        <x:v>0</x:v>
      </x:c>
      <x:c r="G1368" s="144" t="n">
        <x:v>0.030843776993178765</x:v>
      </x:c>
      <x:c r="H1368" s="144" t="n">
        <x:v>0.5</x:v>
      </x:c>
      <x:c r="I1368" s="137" t="str">
        <x:v>NONPOSITIVE-MODEL-MARGIN</x:v>
      </x:c>
      <x:c r="J1368" s="137" t="str">
        <x:v>V0.7-CONTROLLED-RESEARCH-SCREEN-NOT-DISTRIBUTION</x:v>
      </x:c>
    </x:row>
    <x:row r="1369" ht="22" customHeight="1">
      <x:c r="A1369" s="136" t="str">
        <x:v>SCR-1364</x:v>
      </x:c>
      <x:c r="B1369" s="143" t="n">
        <x:v>0.000001658974358974359</x:v>
      </x:c>
      <x:c r="C1369" s="143" t="n">
        <x:v>0.0057692307692307696</x:v>
      </x:c>
      <x:c r="D1369" s="161" t="n">
        <x:v>1</x:v>
      </x:c>
      <x:c r="E1369" s="163" t="n">
        <x:v>-3048.426739812201</x:v>
      </x:c>
      <x:c r="F1369" s="163" t="n">
        <x:v>0</x:v>
      </x:c>
      <x:c r="G1369" s="145" t="n">
        <x:v>0.031135678250818265</x:v>
      </x:c>
      <x:c r="H1369" s="145" t="n">
        <x:v>0.5</x:v>
      </x:c>
      <x:c r="I1369" s="136" t="str">
        <x:v>NONPOSITIVE-MODEL-MARGIN</x:v>
      </x:c>
      <x:c r="J1369" s="136" t="str">
        <x:v>V0.7-CONTROLLED-RESEARCH-SCREEN-NOT-DISTRIBUTION</x:v>
      </x:c>
    </x:row>
    <x:row r="1370" ht="22" customHeight="1">
      <x:c r="A1370" s="137" t="str">
        <x:v>SCR-1365</x:v>
      </x:c>
      <x:c r="B1370" s="142" t="n">
        <x:v>0.000001658974358974359</x:v>
      </x:c>
      <x:c r="C1370" s="142" t="n">
        <x:v>0.006076923076923077</x:v>
      </x:c>
      <x:c r="D1370" s="160" t="n">
        <x:v>1</x:v>
      </x:c>
      <x:c r="E1370" s="162" t="n">
        <x:v>-3065.7279960253672</x:v>
      </x:c>
      <x:c r="F1370" s="162" t="n">
        <x:v>0</x:v>
      </x:c>
      <x:c r="G1370" s="144" t="n">
        <x:v>0.03142757950845775</x:v>
      </x:c>
      <x:c r="H1370" s="144" t="n">
        <x:v>0.5</x:v>
      </x:c>
      <x:c r="I1370" s="137" t="str">
        <x:v>NONPOSITIVE-MODEL-MARGIN</x:v>
      </x:c>
      <x:c r="J1370" s="137" t="str">
        <x:v>V0.7-CONTROLLED-RESEARCH-SCREEN-NOT-DISTRIBUTION</x:v>
      </x:c>
    </x:row>
    <x:row r="1371" ht="22" customHeight="1">
      <x:c r="A1371" s="136" t="str">
        <x:v>SCR-1366</x:v>
      </x:c>
      <x:c r="B1371" s="143" t="n">
        <x:v>0.000001658974358974359</x:v>
      </x:c>
      <x:c r="C1371" s="143" t="n">
        <x:v>0.006384615384615384</x:v>
      </x:c>
      <x:c r="D1371" s="161" t="n">
        <x:v>1</x:v>
      </x:c>
      <x:c r="E1371" s="163" t="n">
        <x:v>-3082.9839763056375</x:v>
      </x:c>
      <x:c r="F1371" s="163" t="n">
        <x:v>0</x:v>
      </x:c>
      <x:c r="G1371" s="145" t="n">
        <x:v>0.03171948076609725</x:v>
      </x:c>
      <x:c r="H1371" s="145" t="n">
        <x:v>0.5</x:v>
      </x:c>
      <x:c r="I1371" s="136" t="str">
        <x:v>NONPOSITIVE-MODEL-MARGIN</x:v>
      </x:c>
      <x:c r="J1371" s="136" t="str">
        <x:v>V0.7-CONTROLLED-RESEARCH-SCREEN-NOT-DISTRIBUTION</x:v>
      </x:c>
    </x:row>
    <x:row r="1372" ht="22" customHeight="1">
      <x:c r="A1372" s="137" t="str">
        <x:v>SCR-1367</x:v>
      </x:c>
      <x:c r="B1372" s="142" t="n">
        <x:v>0.000001658974358974359</x:v>
      </x:c>
      <x:c r="C1372" s="142" t="n">
        <x:v>0.006692307692307693</x:v>
      </x:c>
      <x:c r="D1372" s="160" t="n">
        <x:v>1</x:v>
      </x:c>
      <x:c r="E1372" s="162" t="n">
        <x:v>-3100.1950112271365</x:v>
      </x:c>
      <x:c r="F1372" s="162" t="n">
        <x:v>0</x:v>
      </x:c>
      <x:c r="G1372" s="144" t="n">
        <x:v>0.03201138202373675</x:v>
      </x:c>
      <x:c r="H1372" s="144" t="n">
        <x:v>0.5</x:v>
      </x:c>
      <x:c r="I1372" s="137" t="str">
        <x:v>NONPOSITIVE-MODEL-MARGIN</x:v>
      </x:c>
      <x:c r="J1372" s="137" t="str">
        <x:v>V0.7-CONTROLLED-RESEARCH-SCREEN-NOT-DISTRIBUTION</x:v>
      </x:c>
    </x:row>
    <x:row r="1373" ht="22" customHeight="1">
      <x:c r="A1373" s="136" t="str">
        <x:v>SCR-1368</x:v>
      </x:c>
      <x:c r="B1373" s="143" t="n">
        <x:v>0.000001658974358974359</x:v>
      </x:c>
      <x:c r="C1373" s="143" t="n">
        <x:v>0.007</x:v>
      </x:c>
      <x:c r="D1373" s="161" t="n">
        <x:v>1</x:v>
      </x:c>
      <x:c r="E1373" s="163" t="n">
        <x:v>-3117.361426557785</x:v>
      </x:c>
      <x:c r="F1373" s="163" t="n">
        <x:v>0</x:v>
      </x:c>
      <x:c r="G1373" s="145" t="n">
        <x:v>0.03230328328137624</x:v>
      </x:c>
      <x:c r="H1373" s="145" t="n">
        <x:v>0.5</x:v>
      </x:c>
      <x:c r="I1373" s="136" t="str">
        <x:v>NONPOSITIVE-MODEL-MARGIN</x:v>
      </x:c>
      <x:c r="J1373" s="136" t="str">
        <x:v>V0.7-CONTROLLED-RESEARCH-SCREEN-NOT-DISTRIBUTION</x:v>
      </x:c>
    </x:row>
    <x:row r="1374" ht="22" customHeight="1">
      <x:c r="A1374" s="137" t="str">
        <x:v>SCR-1369</x:v>
      </x:c>
      <x:c r="B1374" s="142" t="n">
        <x:v>0.000001658974358974359</x:v>
      </x:c>
      <x:c r="C1374" s="142" t="n">
        <x:v>0.007307692307692308</x:v>
      </x:c>
      <x:c r="D1374" s="160" t="n">
        <x:v>1</x:v>
      </x:c>
      <x:c r="E1374" s="162" t="n">
        <x:v>-3134.483543356386</x:v>
      </x:c>
      <x:c r="F1374" s="162" t="n">
        <x:v>0</x:v>
      </x:c>
      <x:c r="G1374" s="144" t="n">
        <x:v>0.03259518453901573</x:v>
      </x:c>
      <x:c r="H1374" s="144" t="n">
        <x:v>0.5</x:v>
      </x:c>
      <x:c r="I1374" s="137" t="str">
        <x:v>NONPOSITIVE-MODEL-MARGIN</x:v>
      </x:c>
      <x:c r="J1374" s="137" t="str">
        <x:v>V0.7-CONTROLLED-RESEARCH-SCREEN-NOT-DISTRIBUTION</x:v>
      </x:c>
    </x:row>
    <x:row r="1375" ht="22" customHeight="1">
      <x:c r="A1375" s="136" t="str">
        <x:v>SCR-1370</x:v>
      </x:c>
      <x:c r="B1375" s="143" t="n">
        <x:v>0.000001658974358974359</x:v>
      </x:c>
      <x:c r="C1375" s="143" t="n">
        <x:v>0.007615384615384616</x:v>
      </x:c>
      <x:c r="D1375" s="161" t="n">
        <x:v>1</x:v>
      </x:c>
      <x:c r="E1375" s="163" t="n">
        <x:v>-3151.5616780674745</x:v>
      </x:c>
      <x:c r="F1375" s="163" t="n">
        <x:v>0</x:v>
      </x:c>
      <x:c r="G1375" s="145" t="n">
        <x:v>0.03288708579665522</x:v>
      </x:c>
      <x:c r="H1375" s="145" t="n">
        <x:v>0.5</x:v>
      </x:c>
      <x:c r="I1375" s="136" t="str">
        <x:v>NONPOSITIVE-MODEL-MARGIN</x:v>
      </x:c>
      <x:c r="J1375" s="136" t="str">
        <x:v>V0.7-CONTROLLED-RESEARCH-SCREEN-NOT-DISTRIBUTION</x:v>
      </x:c>
    </x:row>
    <x:row r="1376" ht="22" customHeight="1">
      <x:c r="A1376" s="137" t="str">
        <x:v>SCR-1371</x:v>
      </x:c>
      <x:c r="B1376" s="142" t="n">
        <x:v>0.000001658974358974359</x:v>
      </x:c>
      <x:c r="C1376" s="142" t="n">
        <x:v>0.007923076923076923</x:v>
      </x:c>
      <x:c r="D1376" s="160" t="n">
        <x:v>1</x:v>
      </x:c>
      <x:c r="E1376" s="162" t="n">
        <x:v>-3168.5961426138447</x:v>
      </x:c>
      <x:c r="F1376" s="162" t="n">
        <x:v>0</x:v>
      </x:c>
      <x:c r="G1376" s="144" t="n">
        <x:v>0.033178987054294715</x:v>
      </x:c>
      <x:c r="H1376" s="144" t="n">
        <x:v>0.5</x:v>
      </x:c>
      <x:c r="I1376" s="137" t="str">
        <x:v>NONPOSITIVE-MODEL-MARGIN</x:v>
      </x:c>
      <x:c r="J1376" s="137" t="str">
        <x:v>V0.7-CONTROLLED-RESEARCH-SCREEN-NOT-DISTRIBUTION</x:v>
      </x:c>
    </x:row>
    <x:row r="1377" ht="22" customHeight="1">
      <x:c r="A1377" s="136" t="str">
        <x:v>SCR-1372</x:v>
      </x:c>
      <x:c r="B1377" s="143" t="n">
        <x:v>0.000001658974358974359</x:v>
      </x:c>
      <x:c r="C1377" s="143" t="n">
        <x:v>0.00823076923076923</x:v>
      </x:c>
      <x:c r="D1377" s="161" t="n">
        <x:v>1</x:v>
      </x:c>
      <x:c r="E1377" s="163" t="n">
        <x:v>-3185.5872444869483</x:v>
      </x:c>
      <x:c r="F1377" s="163" t="n">
        <x:v>0</x:v>
      </x:c>
      <x:c r="G1377" s="145" t="n">
        <x:v>0.03347088831193421</x:v>
      </x:c>
      <x:c r="H1377" s="145" t="n">
        <x:v>0.5</x:v>
      </x:c>
      <x:c r="I1377" s="136" t="str">
        <x:v>NONPOSITIVE-MODEL-MARGIN</x:v>
      </x:c>
      <x:c r="J1377" s="136" t="str">
        <x:v>V0.7-CONTROLLED-RESEARCH-SCREEN-NOT-DISTRIBUTION</x:v>
      </x:c>
    </x:row>
    <x:row r="1378" ht="22" customHeight="1">
      <x:c r="A1378" s="137" t="str">
        <x:v>SCR-1373</x:v>
      </x:c>
      <x:c r="B1378" s="142" t="n">
        <x:v>0.000001658974358974359</x:v>
      </x:c>
      <x:c r="C1378" s="142" t="n">
        <x:v>0.00853846153846154</x:v>
      </x:c>
      <x:c r="D1378" s="160" t="n">
        <x:v>1</x:v>
      </x:c>
      <x:c r="E1378" s="162" t="n">
        <x:v>-3202.535286835085</x:v>
      </x:c>
      <x:c r="F1378" s="162" t="n">
        <x:v>0</x:v>
      </x:c>
      <x:c r="G1378" s="144" t="n">
        <x:v>0.0337627895695737</x:v>
      </x:c>
      <x:c r="H1378" s="144" t="n">
        <x:v>0.5</x:v>
      </x:c>
      <x:c r="I1378" s="137" t="str">
        <x:v>NONPOSITIVE-MODEL-MARGIN</x:v>
      </x:c>
      <x:c r="J1378" s="137" t="str">
        <x:v>V0.7-CONTROLLED-RESEARCH-SCREEN-NOT-DISTRIBUTION</x:v>
      </x:c>
    </x:row>
    <x:row r="1379" ht="22" customHeight="1">
      <x:c r="A1379" s="136" t="str">
        <x:v>SCR-1374</x:v>
      </x:c>
      <x:c r="B1379" s="143" t="n">
        <x:v>0.000001658974358974359</x:v>
      </x:c>
      <x:c r="C1379" s="143" t="n">
        <x:v>0.008846153846153847</x:v>
      </x:c>
      <x:c r="D1379" s="161" t="n">
        <x:v>1</x:v>
      </x:c>
      <x:c r="E1379" s="163" t="n">
        <x:v>-3219.4405685495085</x:v>
      </x:c>
      <x:c r="F1379" s="163" t="n">
        <x:v>0</x:v>
      </x:c>
      <x:c r="G1379" s="145" t="n">
        <x:v>0.0340546908272132</x:v>
      </x:c>
      <x:c r="H1379" s="145" t="n">
        <x:v>0.5</x:v>
      </x:c>
      <x:c r="I1379" s="136" t="str">
        <x:v>NONPOSITIVE-MODEL-MARGIN</x:v>
      </x:c>
      <x:c r="J1379" s="136" t="str">
        <x:v>V0.7-CONTROLLED-RESEARCH-SCREEN-NOT-DISTRIBUTION</x:v>
      </x:c>
    </x:row>
    <x:row r="1380" ht="22" customHeight="1">
      <x:c r="A1380" s="137" t="str">
        <x:v>SCR-1375</x:v>
      </x:c>
      <x:c r="B1380" s="142" t="n">
        <x:v>0.000001658974358974359</x:v>
      </x:c>
      <x:c r="C1380" s="142" t="n">
        <x:v>0.009153846153846155</x:v>
      </x:c>
      <x:c r="D1380" s="160" t="n">
        <x:v>1</x:v>
      </x:c>
      <x:c r="E1380" s="162" t="n">
        <x:v>-3236.3033843485155</x:v>
      </x:c>
      <x:c r="F1380" s="162" t="n">
        <x:v>0</x:v>
      </x:c>
      <x:c r="G1380" s="144" t="n">
        <x:v>0.03434659208485268</x:v>
      </x:c>
      <x:c r="H1380" s="144" t="n">
        <x:v>0.5</x:v>
      </x:c>
      <x:c r="I1380" s="137" t="str">
        <x:v>NONPOSITIVE-MODEL-MARGIN</x:v>
      </x:c>
      <x:c r="J1380" s="137" t="str">
        <x:v>V0.7-CONTROLLED-RESEARCH-SCREEN-NOT-DISTRIBUTION</x:v>
      </x:c>
    </x:row>
    <x:row r="1381" ht="22" customHeight="1">
      <x:c r="A1381" s="136" t="str">
        <x:v>SCR-1376</x:v>
      </x:c>
      <x:c r="B1381" s="143" t="n">
        <x:v>0.000001658974358974359</x:v>
      </x:c>
      <x:c r="C1381" s="143" t="n">
        <x:v>0.009461538461538462</x:v>
      </x:c>
      <x:c r="D1381" s="161" t="n">
        <x:v>1</x:v>
      </x:c>
      <x:c r="E1381" s="163" t="n">
        <x:v>-3253.124024859477</x:v>
      </x:c>
      <x:c r="F1381" s="163" t="n">
        <x:v>0</x:v>
      </x:c>
      <x:c r="G1381" s="145" t="n">
        <x:v>0.03463849334249219</x:v>
      </x:c>
      <x:c r="H1381" s="145" t="n">
        <x:v>0.5</x:v>
      </x:c>
      <x:c r="I1381" s="136" t="str">
        <x:v>NONPOSITIVE-MODEL-MARGIN</x:v>
      </x:c>
      <x:c r="J1381" s="136" t="str">
        <x:v>V0.7-CONTROLLED-RESEARCH-SCREEN-NOT-DISTRIBUTION</x:v>
      </x:c>
    </x:row>
    <x:row r="1382" ht="22" customHeight="1">
      <x:c r="A1382" s="137" t="str">
        <x:v>SCR-1377</x:v>
      </x:c>
      <x:c r="B1382" s="142" t="n">
        <x:v>0.000001658974358974359</x:v>
      </x:c>
      <x:c r="C1382" s="142" t="n">
        <x:v>0.00976923076923077</x:v>
      </x:c>
      <x:c r="D1382" s="160" t="n">
        <x:v>1</x:v>
      </x:c>
      <x:c r="E1382" s="162" t="n">
        <x:v>-3269.902776698954</x:v>
      </x:c>
      <x:c r="F1382" s="162" t="n">
        <x:v>0</x:v>
      </x:c>
      <x:c r="G1382" s="144" t="n">
        <x:v>0.03493039460013168</x:v>
      </x:c>
      <x:c r="H1382" s="144" t="n">
        <x:v>0.5</x:v>
      </x:c>
      <x:c r="I1382" s="137" t="str">
        <x:v>NONPOSITIVE-MODEL-MARGIN</x:v>
      </x:c>
      <x:c r="J1382" s="137" t="str">
        <x:v>V0.7-CONTROLLED-RESEARCH-SCREEN-NOT-DISTRIBUTION</x:v>
      </x:c>
    </x:row>
    <x:row r="1383" ht="22" customHeight="1">
      <x:c r="A1383" s="136" t="str">
        <x:v>SCR-1378</x:v>
      </x:c>
      <x:c r="B1383" s="143" t="n">
        <x:v>0.000001658974358974359</x:v>
      </x:c>
      <x:c r="C1383" s="143" t="n">
        <x:v>0.010076923076923077</x:v>
      </x:c>
      <x:c r="D1383" s="161" t="n">
        <x:v>1</x:v>
      </x:c>
      <x:c r="E1383" s="163" t="n">
        <x:v>-3283.3297041216542</x:v>
      </x:c>
      <x:c r="F1383" s="163" t="n">
        <x:v>0</x:v>
      </x:c>
      <x:c r="G1383" s="145" t="n">
        <x:v>0.03522229585777117</x:v>
      </x:c>
      <x:c r="H1383" s="145" t="n">
        <x:v>0.5</x:v>
      </x:c>
      <x:c r="I1383" s="136" t="str">
        <x:v>NONPOSITIVE-MODEL-MARGIN</x:v>
      </x:c>
      <x:c r="J1383" s="136" t="str">
        <x:v>V0.7-CONTROLLED-RESEARCH-SCREEN-NOT-DISTRIBUTION</x:v>
      </x:c>
    </x:row>
    <x:row r="1384" ht="22" customHeight="1">
      <x:c r="A1384" s="137" t="str">
        <x:v>SCR-1379</x:v>
      </x:c>
      <x:c r="B1384" s="142" t="n">
        <x:v>0.000001658974358974359</x:v>
      </x:c>
      <x:c r="C1384" s="142" t="n">
        <x:v>0.010384615384615384</x:v>
      </x:c>
      <x:c r="D1384" s="160" t="n">
        <x:v>1</x:v>
      </x:c>
      <x:c r="E1384" s="162" t="n">
        <x:v>-3300.0340786657625</x:v>
      </x:c>
      <x:c r="F1384" s="162" t="n">
        <x:v>0</x:v>
      </x:c>
      <x:c r="G1384" s="144" t="n">
        <x:v>0.035514197115410664</x:v>
      </x:c>
      <x:c r="H1384" s="144" t="n">
        <x:v>0.5</x:v>
      </x:c>
      <x:c r="I1384" s="137" t="str">
        <x:v>NONPOSITIVE-MODEL-MARGIN</x:v>
      </x:c>
      <x:c r="J1384" s="137" t="str">
        <x:v>V0.7-CONTROLLED-RESEARCH-SCREEN-NOT-DISTRIBUTION</x:v>
      </x:c>
    </x:row>
    <x:row r="1385" ht="22" customHeight="1">
      <x:c r="A1385" s="136" t="str">
        <x:v>SCR-1380</x:v>
      </x:c>
      <x:c r="B1385" s="143" t="n">
        <x:v>0.000001658974358974359</x:v>
      </x:c>
      <x:c r="C1385" s="143" t="n">
        <x:v>0.010692307692307692</x:v>
      </x:c>
      <x:c r="D1385" s="161" t="n">
        <x:v>1</x:v>
      </x:c>
      <x:c r="E1385" s="163" t="n">
        <x:v>-3316.697333628716</x:v>
      </x:c>
      <x:c r="F1385" s="163" t="n">
        <x:v>0</x:v>
      </x:c>
      <x:c r="G1385" s="145" t="n">
        <x:v>0.03580609837305016</x:v>
      </x:c>
      <x:c r="H1385" s="145" t="n">
        <x:v>0.5</x:v>
      </x:c>
      <x:c r="I1385" s="136" t="str">
        <x:v>NONPOSITIVE-MODEL-MARGIN</x:v>
      </x:c>
      <x:c r="J1385" s="136" t="str">
        <x:v>V0.7-CONTROLLED-RESEARCH-SCREEN-NOT-DISTRIBUTION</x:v>
      </x:c>
    </x:row>
    <x:row r="1386" ht="22" customHeight="1">
      <x:c r="A1386" s="137" t="str">
        <x:v>SCR-1381</x:v>
      </x:c>
      <x:c r="B1386" s="142" t="n">
        <x:v>0.000001658974358974359</x:v>
      </x:c>
      <x:c r="C1386" s="142" t="n">
        <x:v>0.011</x:v>
      </x:c>
      <x:c r="D1386" s="160" t="n">
        <x:v>1</x:v>
      </x:c>
      <x:c r="E1386" s="162" t="n">
        <x:v>-3333.319741444636</x:v>
      </x:c>
      <x:c r="F1386" s="162" t="n">
        <x:v>0</x:v>
      </x:c>
      <x:c r="G1386" s="144" t="n">
        <x:v>0.03609799963068965</x:v>
      </x:c>
      <x:c r="H1386" s="144" t="n">
        <x:v>0.5</x:v>
      </x:c>
      <x:c r="I1386" s="137" t="str">
        <x:v>NONPOSITIVE-MODEL-MARGIN</x:v>
      </x:c>
      <x:c r="J1386" s="137" t="str">
        <x:v>V0.7-CONTROLLED-RESEARCH-SCREEN-NOT-DISTRIBUTION</x:v>
      </x:c>
    </x:row>
    <x:row r="1387" ht="22" customHeight="1">
      <x:c r="A1387" s="136" t="str">
        <x:v>SCR-1382</x:v>
      </x:c>
      <x:c r="B1387" s="143" t="n">
        <x:v>0.000001658974358974359</x:v>
      </x:c>
      <x:c r="C1387" s="143" t="n">
        <x:v>0.011307692307692307</x:v>
      </x:c>
      <x:c r="D1387" s="161" t="n">
        <x:v>1</x:v>
      </x:c>
      <x:c r="E1387" s="163" t="n">
        <x:v>-3349.9015708832167</x:v>
      </x:c>
      <x:c r="F1387" s="163" t="n">
        <x:v>0</x:v>
      </x:c>
      <x:c r="G1387" s="145" t="n">
        <x:v>0.03638990088832914</x:v>
      </x:c>
      <x:c r="H1387" s="145" t="n">
        <x:v>0.5</x:v>
      </x:c>
      <x:c r="I1387" s="136" t="str">
        <x:v>NONPOSITIVE-MODEL-MARGIN</x:v>
      </x:c>
      <x:c r="J1387" s="136" t="str">
        <x:v>V0.7-CONTROLLED-RESEARCH-SCREEN-NOT-DISTRIBUTION</x:v>
      </x:c>
    </x:row>
    <x:row r="1388" ht="22" customHeight="1">
      <x:c r="A1388" s="137" t="str">
        <x:v>SCR-1383</x:v>
      </x:c>
      <x:c r="B1388" s="142" t="n">
        <x:v>0.000001658974358974359</x:v>
      </x:c>
      <x:c r="C1388" s="142" t="n">
        <x:v>0.011615384615384614</x:v>
      </x:c>
      <x:c r="D1388" s="160" t="n">
        <x:v>1</x:v>
      </x:c>
      <x:c r="E1388" s="162" t="n">
        <x:v>-3366.4430871199547</x:v>
      </x:c>
      <x:c r="F1388" s="162" t="n">
        <x:v>0</x:v>
      </x:c>
      <x:c r="G1388" s="144" t="n">
        <x:v>0.03668180214596863</x:v>
      </x:c>
      <x:c r="H1388" s="144" t="n">
        <x:v>0.5</x:v>
      </x:c>
      <x:c r="I1388" s="137" t="str">
        <x:v>NONPOSITIVE-MODEL-MARGIN</x:v>
      </x:c>
      <x:c r="J1388" s="137" t="str">
        <x:v>V0.7-CONTROLLED-RESEARCH-SCREEN-NOT-DISTRIBUTION</x:v>
      </x:c>
    </x:row>
    <x:row r="1389" ht="22" customHeight="1">
      <x:c r="A1389" s="136" t="str">
        <x:v>SCR-1384</x:v>
      </x:c>
      <x:c r="B1389" s="143" t="n">
        <x:v>0.000001658974358974359</x:v>
      </x:c>
      <x:c r="C1389" s="143" t="n">
        <x:v>0.011923076923076925</x:v>
      </x:c>
      <x:c r="D1389" s="161" t="n">
        <x:v>1</x:v>
      </x:c>
      <x:c r="E1389" s="163" t="n">
        <x:v>-3382.9445518046655</x:v>
      </x:c>
      <x:c r="F1389" s="163" t="n">
        <x:v>0</x:v>
      </x:c>
      <x:c r="G1389" s="145" t="n">
        <x:v>0.036973703403608144</x:v>
      </x:c>
      <x:c r="H1389" s="145" t="n">
        <x:v>0.5</x:v>
      </x:c>
      <x:c r="I1389" s="136" t="str">
        <x:v>NONPOSITIVE-MODEL-MARGIN</x:v>
      </x:c>
      <x:c r="J1389" s="136" t="str">
        <x:v>V0.7-CONTROLLED-RESEARCH-SCREEN-NOT-DISTRIBUTION</x:v>
      </x:c>
    </x:row>
    <x:row r="1390" ht="22" customHeight="1">
      <x:c r="A1390" s="137" t="str">
        <x:v>SCR-1385</x:v>
      </x:c>
      <x:c r="B1390" s="142" t="n">
        <x:v>0.000001658974358974359</x:v>
      </x:c>
      <x:c r="C1390" s="142" t="n">
        <x:v>0.012230769230769233</x:v>
      </x:c>
      <x:c r="D1390" s="160" t="n">
        <x:v>1</x:v>
      </x:c>
      <x:c r="E1390" s="162" t="n">
        <x:v>-3399.406223128439</x:v>
      </x:c>
      <x:c r="F1390" s="162" t="n">
        <x:v>0</x:v>
      </x:c>
      <x:c r="G1390" s="144" t="n">
        <x:v>0.03726560466124763</x:v>
      </x:c>
      <x:c r="H1390" s="144" t="n">
        <x:v>0.5</x:v>
      </x:c>
      <x:c r="I1390" s="137" t="str">
        <x:v>NONPOSITIVE-MODEL-MARGIN</x:v>
      </x:c>
      <x:c r="J1390" s="137" t="str">
        <x:v>V0.7-CONTROLLED-RESEARCH-SCREEN-NOT-DISTRIBUTION</x:v>
      </x:c>
    </x:row>
    <x:row r="1391" ht="22" customHeight="1">
      <x:c r="A1391" s="136" t="str">
        <x:v>SCR-1386</x:v>
      </x:c>
      <x:c r="B1391" s="143" t="n">
        <x:v>0.000001658974358974359</x:v>
      </x:c>
      <x:c r="C1391" s="143" t="n">
        <x:v>0.01253846153846154</x:v>
      </x:c>
      <x:c r="D1391" s="161" t="n">
        <x:v>1</x:v>
      </x:c>
      <x:c r="E1391" s="163" t="n">
        <x:v>-3415.8283558889507</x:v>
      </x:c>
      <x:c r="F1391" s="163" t="n">
        <x:v>0</x:v>
      </x:c>
      <x:c r="G1391" s="145" t="n">
        <x:v>0.03755750591888712</x:v>
      </x:c>
      <x:c r="H1391" s="145" t="n">
        <x:v>0.5</x:v>
      </x:c>
      <x:c r="I1391" s="136" t="str">
        <x:v>NONPOSITIVE-MODEL-MARGIN</x:v>
      </x:c>
      <x:c r="J1391" s="136" t="str">
        <x:v>V0.7-CONTROLLED-RESEARCH-SCREEN-NOT-DISTRIBUTION</x:v>
      </x:c>
    </x:row>
    <x:row r="1392" ht="22" customHeight="1">
      <x:c r="A1392" s="137" t="str">
        <x:v>SCR-1387</x:v>
      </x:c>
      <x:c r="B1392" s="142" t="n">
        <x:v>0.000001658974358974359</x:v>
      </x:c>
      <x:c r="C1392" s="142" t="n">
        <x:v>0.012846153846153847</x:v>
      </x:c>
      <x:c r="D1392" s="160" t="n">
        <x:v>1</x:v>
      </x:c>
      <x:c r="E1392" s="162" t="n">
        <x:v>-3432.2112015542807</x:v>
      </x:c>
      <x:c r="F1392" s="162" t="n">
        <x:v>0</x:v>
      </x:c>
      <x:c r="G1392" s="144" t="n">
        <x:v>0.03784940717652663</x:v>
      </x:c>
      <x:c r="H1392" s="144" t="n">
        <x:v>0.5</x:v>
      </x:c>
      <x:c r="I1392" s="137" t="str">
        <x:v>NONPOSITIVE-MODEL-MARGIN</x:v>
      </x:c>
      <x:c r="J1392" s="137" t="str">
        <x:v>V0.7-CONTROLLED-RESEARCH-SCREEN-NOT-DISTRIBUTION</x:v>
      </x:c>
    </x:row>
    <x:row r="1393" ht="22" customHeight="1">
      <x:c r="A1393" s="136" t="str">
        <x:v>SCR-1388</x:v>
      </x:c>
      <x:c r="B1393" s="143" t="n">
        <x:v>0.000001658974358974359</x:v>
      </x:c>
      <x:c r="C1393" s="143" t="n">
        <x:v>0.013153846153846155</x:v>
      </x:c>
      <x:c r="D1393" s="161" t="n">
        <x:v>1</x:v>
      </x:c>
      <x:c r="E1393" s="163" t="n">
        <x:v>-3448.5550083252183</x:v>
      </x:c>
      <x:c r="F1393" s="163" t="n">
        <x:v>0</x:v>
      </x:c>
      <x:c r="G1393" s="145" t="n">
        <x:v>0.0381413084341661</x:v>
      </x:c>
      <x:c r="H1393" s="145" t="n">
        <x:v>0.5</x:v>
      </x:c>
      <x:c r="I1393" s="136" t="str">
        <x:v>NONPOSITIVE-MODEL-MARGIN</x:v>
      </x:c>
      <x:c r="J1393" s="136" t="str">
        <x:v>V0.7-CONTROLLED-RESEARCH-SCREEN-NOT-DISTRIBUTION</x:v>
      </x:c>
    </x:row>
    <x:row r="1394" ht="22" customHeight="1">
      <x:c r="A1394" s="137" t="str">
        <x:v>SCR-1389</x:v>
      </x:c>
      <x:c r="B1394" s="142" t="n">
        <x:v>0.000001658974358974359</x:v>
      </x:c>
      <x:c r="C1394" s="142" t="n">
        <x:v>0.013461538461538462</x:v>
      </x:c>
      <x:c r="D1394" s="160" t="n">
        <x:v>1</x:v>
      </x:c>
      <x:c r="E1394" s="162" t="n">
        <x:v>-3464.8600211960825</x:v>
      </x:c>
      <x:c r="F1394" s="162" t="n">
        <x:v>0</x:v>
      </x:c>
      <x:c r="G1394" s="144" t="n">
        <x:v>0.038433209691805595</x:v>
      </x:c>
      <x:c r="H1394" s="144" t="n">
        <x:v>0.5</x:v>
      </x:c>
      <x:c r="I1394" s="137" t="str">
        <x:v>NONPOSITIVE-MODEL-MARGIN</x:v>
      </x:c>
      <x:c r="J1394" s="137" t="str">
        <x:v>V0.7-CONTROLLED-RESEARCH-SCREEN-NOT-DISTRIBUTION</x:v>
      </x:c>
    </x:row>
    <x:row r="1395" ht="22" customHeight="1">
      <x:c r="A1395" s="136" t="str">
        <x:v>SCR-1390</x:v>
      </x:c>
      <x:c r="B1395" s="143" t="n">
        <x:v>0.000001658974358974359</x:v>
      </x:c>
      <x:c r="C1395" s="143" t="n">
        <x:v>0.01376923076923077</x:v>
      </x:c>
      <x:c r="D1395" s="161" t="n">
        <x:v>1</x:v>
      </x:c>
      <x:c r="E1395" s="163" t="n">
        <x:v>-3481.126482014172</x:v>
      </x:c>
      <x:c r="F1395" s="163" t="n">
        <x:v>0</x:v>
      </x:c>
      <x:c r="G1395" s="145" t="n">
        <x:v>0.0387251109494451</x:v>
      </x:c>
      <x:c r="H1395" s="145" t="n">
        <x:v>0.5</x:v>
      </x:c>
      <x:c r="I1395" s="136" t="str">
        <x:v>NONPOSITIVE-MODEL-MARGIN</x:v>
      </x:c>
      <x:c r="J1395" s="136" t="str">
        <x:v>V0.7-CONTROLLED-RESEARCH-SCREEN-NOT-DISTRIBUTION</x:v>
      </x:c>
    </x:row>
    <x:row r="1396" ht="22" customHeight="1">
      <x:c r="A1396" s="137" t="str">
        <x:v>SCR-1391</x:v>
      </x:c>
      <x:c r="B1396" s="142" t="n">
        <x:v>0.000001658974358974359</x:v>
      </x:c>
      <x:c r="C1396" s="142" t="n">
        <x:v>0.014076923076923077</x:v>
      </x:c>
      <x:c r="D1396" s="160" t="n">
        <x:v>1</x:v>
      </x:c>
      <x:c r="E1396" s="162" t="n">
        <x:v>-3497.354629537764</x:v>
      </x:c>
      <x:c r="F1396" s="162" t="n">
        <x:v>0</x:v>
      </x:c>
      <x:c r="G1396" s="144" t="n">
        <x:v>0.03901701220708459</x:v>
      </x:c>
      <x:c r="H1396" s="144" t="n">
        <x:v>0.5</x:v>
      </x:c>
      <x:c r="I1396" s="137" t="str">
        <x:v>NONPOSITIVE-MODEL-MARGIN</x:v>
      </x:c>
      <x:c r="J1396" s="137" t="str">
        <x:v>V0.7-CONTROLLED-RESEARCH-SCREEN-NOT-DISTRIBUTION</x:v>
      </x:c>
    </x:row>
    <x:row r="1397" ht="22" customHeight="1">
      <x:c r="A1397" s="136" t="str">
        <x:v>SCR-1392</x:v>
      </x:c>
      <x:c r="B1397" s="143" t="n">
        <x:v>0.000001658974358974359</x:v>
      </x:c>
      <x:c r="C1397" s="143" t="n">
        <x:v>0.014384615384615385</x:v>
      </x:c>
      <x:c r="D1397" s="161" t="n">
        <x:v>1</x:v>
      </x:c>
      <x:c r="E1397" s="163" t="n">
        <x:v>-3513.544699492847</x:v>
      </x:c>
      <x:c r="F1397" s="163" t="n">
        <x:v>0</x:v>
      </x:c>
      <x:c r="G1397" s="145" t="n">
        <x:v>0.03930891346472407</x:v>
      </x:c>
      <x:c r="H1397" s="145" t="n">
        <x:v>0.5</x:v>
      </x:c>
      <x:c r="I1397" s="136" t="str">
        <x:v>NONPOSITIVE-MODEL-MARGIN</x:v>
      </x:c>
      <x:c r="J1397" s="136" t="str">
        <x:v>V0.7-CONTROLLED-RESEARCH-SCREEN-NOT-DISTRIBUTION</x:v>
      </x:c>
    </x:row>
    <x:row r="1398" ht="22" customHeight="1">
      <x:c r="A1398" s="137" t="str">
        <x:v>SCR-1393</x:v>
      </x:c>
      <x:c r="B1398" s="142" t="n">
        <x:v>0.000001658974358974359</x:v>
      </x:c>
      <x:c r="C1398" s="142" t="n">
        <x:v>0.014692307692307692</x:v>
      </x:c>
      <x:c r="D1398" s="160" t="n">
        <x:v>1</x:v>
      </x:c>
      <x:c r="E1398" s="162" t="n">
        <x:v>-3529.696924628468</x:v>
      </x:c>
      <x:c r="F1398" s="162" t="n">
        <x:v>0</x:v>
      </x:c>
      <x:c r="G1398" s="144" t="n">
        <x:v>0.03960081472236357</x:v>
      </x:c>
      <x:c r="H1398" s="144" t="n">
        <x:v>0.5</x:v>
      </x:c>
      <x:c r="I1398" s="137" t="str">
        <x:v>NONPOSITIVE-MODEL-MARGIN</x:v>
      </x:c>
      <x:c r="J1398" s="137" t="str">
        <x:v>V0.7-CONTROLLED-RESEARCH-SCREEN-NOT-DISTRIBUTION</x:v>
      </x:c>
    </x:row>
    <x:row r="1399" ht="22" customHeight="1">
      <x:c r="A1399" s="136" t="str">
        <x:v>SCR-1394</x:v>
      </x:c>
      <x:c r="B1399" s="143" t="n">
        <x:v>0.000001658974358974359</x:v>
      </x:c>
      <x:c r="C1399" s="143" t="n">
        <x:v>0.015</x:v>
      </x:c>
      <x:c r="D1399" s="161" t="n">
        <x:v>1</x:v>
      </x:c>
      <x:c r="E1399" s="163" t="n">
        <x:v>-3545.8115347708326</x:v>
      </x:c>
      <x:c r="F1399" s="163" t="n">
        <x:v>0</x:v>
      </x:c>
      <x:c r="G1399" s="145" t="n">
        <x:v>0.039892715980003074</x:v>
      </x:c>
      <x:c r="H1399" s="145" t="n">
        <x:v>0.5</x:v>
      </x:c>
      <x:c r="I1399" s="136" t="str">
        <x:v>NONPOSITIVE-MODEL-MARGIN</x:v>
      </x:c>
      <x:c r="J1399" s="136" t="str">
        <x:v>V0.7-CONTROLLED-RESEARCH-SCREEN-NOT-DISTRIBUTION</x:v>
      </x:c>
    </x:row>
    <x:row r="1400" ht="22" customHeight="1">
      <x:c r="A1400" s="137" t="str">
        <x:v>SCR-1395</x:v>
      </x:c>
      <x:c r="B1400" s="142" t="n">
        <x:v>0.0000017076923076923075</x:v>
      </x:c>
      <x:c r="C1400" s="142" t="n">
        <x:v>0.003</x:v>
      </x:c>
      <x:c r="D1400" s="160" t="n">
        <x:v>1</x:v>
      </x:c>
      <x:c r="E1400" s="162" t="n">
        <x:v>-2935.740292432211</x:v>
      </x:c>
      <x:c r="F1400" s="162" t="n">
        <x:v>0</x:v>
      </x:c>
      <x:c r="G1400" s="144" t="n">
        <x:v>0.02920503565740734</x:v>
      </x:c>
      <x:c r="H1400" s="144" t="n">
        <x:v>0.5</x:v>
      </x:c>
      <x:c r="I1400" s="137" t="str">
        <x:v>NONPOSITIVE-MODEL-MARGIN</x:v>
      </x:c>
      <x:c r="J1400" s="137" t="str">
        <x:v>V0.7-CONTROLLED-RESEARCH-SCREEN-NOT-DISTRIBUTION</x:v>
      </x:c>
    </x:row>
    <x:row r="1401" ht="22" customHeight="1">
      <x:c r="A1401" s="136" t="str">
        <x:v>SCR-1396</x:v>
      </x:c>
      <x:c r="B1401" s="143" t="n">
        <x:v>0.0000017076923076923075</x:v>
      </x:c>
      <x:c r="C1401" s="143" t="n">
        <x:v>0.003307692307692308</x:v>
      </x:c>
      <x:c r="D1401" s="161" t="n">
        <x:v>1</x:v>
      </x:c>
      <x:c r="E1401" s="163" t="n">
        <x:v>-2953.352960914116</x:v>
      </x:c>
      <x:c r="F1401" s="163" t="n">
        <x:v>0</x:v>
      </x:c>
      <x:c r="G1401" s="145" t="n">
        <x:v>0.029496505758941086</x:v>
      </x:c>
      <x:c r="H1401" s="145" t="n">
        <x:v>0.5</x:v>
      </x:c>
      <x:c r="I1401" s="136" t="str">
        <x:v>NONPOSITIVE-MODEL-MARGIN</x:v>
      </x:c>
      <x:c r="J1401" s="136" t="str">
        <x:v>V0.7-CONTROLLED-RESEARCH-SCREEN-NOT-DISTRIBUTION</x:v>
      </x:c>
    </x:row>
    <x:row r="1402" ht="22" customHeight="1">
      <x:c r="A1402" s="137" t="str">
        <x:v>SCR-1397</x:v>
      </x:c>
      <x:c r="B1402" s="142" t="n">
        <x:v>0.0000017076923076923075</x:v>
      </x:c>
      <x:c r="C1402" s="142" t="n">
        <x:v>0.0036153846153846154</x:v>
      </x:c>
      <x:c r="D1402" s="160" t="n">
        <x:v>1</x:v>
      </x:c>
      <x:c r="E1402" s="162" t="n">
        <x:v>-2970.9180775144696</x:v>
      </x:c>
      <x:c r="F1402" s="162" t="n">
        <x:v>0</x:v>
      </x:c>
      <x:c r="G1402" s="144" t="n">
        <x:v>0.029787975860474842</x:v>
      </x:c>
      <x:c r="H1402" s="144" t="n">
        <x:v>0.5</x:v>
      </x:c>
      <x:c r="I1402" s="137" t="str">
        <x:v>NONPOSITIVE-MODEL-MARGIN</x:v>
      </x:c>
      <x:c r="J1402" s="137" t="str">
        <x:v>V0.7-CONTROLLED-RESEARCH-SCREEN-NOT-DISTRIBUTION</x:v>
      </x:c>
    </x:row>
    <x:row r="1403" ht="22" customHeight="1">
      <x:c r="A1403" s="136" t="str">
        <x:v>SCR-1398</x:v>
      </x:c>
      <x:c r="B1403" s="143" t="n">
        <x:v>0.0000017076923076923075</x:v>
      </x:c>
      <x:c r="C1403" s="143" t="n">
        <x:v>0.003923076923076923</x:v>
      </x:c>
      <x:c r="D1403" s="161" t="n">
        <x:v>1</x:v>
      </x:c>
      <x:c r="E1403" s="163" t="n">
        <x:v>-2988.4360067517346</x:v>
      </x:c>
      <x:c r="F1403" s="163" t="n">
        <x:v>0</x:v>
      </x:c>
      <x:c r="G1403" s="145" t="n">
        <x:v>0.03007944596200859</x:v>
      </x:c>
      <x:c r="H1403" s="145" t="n">
        <x:v>0.5</x:v>
      </x:c>
      <x:c r="I1403" s="136" t="str">
        <x:v>NONPOSITIVE-MODEL-MARGIN</x:v>
      </x:c>
      <x:c r="J1403" s="136" t="str">
        <x:v>V0.7-CONTROLLED-RESEARCH-SCREEN-NOT-DISTRIBUTION</x:v>
      </x:c>
    </x:row>
    <x:row r="1404" ht="22" customHeight="1">
      <x:c r="A1404" s="137" t="str">
        <x:v>SCR-1399</x:v>
      </x:c>
      <x:c r="B1404" s="142" t="n">
        <x:v>0.0000017076923076923075</x:v>
      </x:c>
      <x:c r="C1404" s="142" t="n">
        <x:v>0.004230769230769231</x:v>
      </x:c>
      <x:c r="D1404" s="160" t="n">
        <x:v>1</x:v>
      </x:c>
      <x:c r="E1404" s="162" t="n">
        <x:v>-3005.9071076410182</x:v>
      </x:c>
      <x:c r="F1404" s="162" t="n">
        <x:v>0</x:v>
      </x:c>
      <x:c r="G1404" s="144" t="n">
        <x:v>0.030370916063542336</x:v>
      </x:c>
      <x:c r="H1404" s="144" t="n">
        <x:v>0.5</x:v>
      </x:c>
      <x:c r="I1404" s="137" t="str">
        <x:v>NONPOSITIVE-MODEL-MARGIN</x:v>
      </x:c>
      <x:c r="J1404" s="137" t="str">
        <x:v>V0.7-CONTROLLED-RESEARCH-SCREEN-NOT-DISTRIBUTION</x:v>
      </x:c>
    </x:row>
    <x:row r="1405" ht="22" customHeight="1">
      <x:c r="A1405" s="136" t="str">
        <x:v>SCR-1400</x:v>
      </x:c>
      <x:c r="B1405" s="143" t="n">
        <x:v>0.0000017076923076923075</x:v>
      </x:c>
      <x:c r="C1405" s="143" t="n">
        <x:v>0.004538461538461538</x:v>
      </x:c>
      <x:c r="D1405" s="161" t="n">
        <x:v>1</x:v>
      </x:c>
      <x:c r="E1405" s="163" t="n">
        <x:v>-3023.331733807591</x:v>
      </x:c>
      <x:c r="F1405" s="163" t="n">
        <x:v>0</x:v>
      </x:c>
      <x:c r="G1405" s="145" t="n">
        <x:v>0.030662386165076095</x:v>
      </x:c>
      <x:c r="H1405" s="145" t="n">
        <x:v>0.5</x:v>
      </x:c>
      <x:c r="I1405" s="136" t="str">
        <x:v>NONPOSITIVE-MODEL-MARGIN</x:v>
      </x:c>
      <x:c r="J1405" s="136" t="str">
        <x:v>V0.7-CONTROLLED-RESEARCH-SCREEN-NOT-DISTRIBUTION</x:v>
      </x:c>
    </x:row>
    <x:row r="1406" ht="22" customHeight="1">
      <x:c r="A1406" s="137" t="str">
        <x:v>SCR-1401</x:v>
      </x:c>
      <x:c r="B1406" s="142" t="n">
        <x:v>0.0000017076923076923075</x:v>
      </x:c>
      <x:c r="C1406" s="142" t="n">
        <x:v>0.004846153846153846</x:v>
      </x:c>
      <x:c r="D1406" s="160" t="n">
        <x:v>1</x:v>
      </x:c>
      <x:c r="E1406" s="162" t="n">
        <x:v>-3040.7102335978734</x:v>
      </x:c>
      <x:c r="F1406" s="162" t="n">
        <x:v>0</x:v>
      </x:c>
      <x:c r="G1406" s="144" t="n">
        <x:v>0.030953856266609844</x:v>
      </x:c>
      <x:c r="H1406" s="144" t="n">
        <x:v>0.5</x:v>
      </x:c>
      <x:c r="I1406" s="137" t="str">
        <x:v>NONPOSITIVE-MODEL-MARGIN</x:v>
      </x:c>
      <x:c r="J1406" s="137" t="str">
        <x:v>V0.7-CONTROLLED-RESEARCH-SCREEN-NOT-DISTRIBUTION</x:v>
      </x:c>
    </x:row>
    <x:row r="1407" ht="22" customHeight="1">
      <x:c r="A1407" s="136" t="str">
        <x:v>SCR-1402</x:v>
      </x:c>
      <x:c r="B1407" s="143" t="n">
        <x:v>0.0000017076923076923075</x:v>
      </x:c>
      <x:c r="C1407" s="143" t="n">
        <x:v>0.005</x:v>
      </x:c>
      <x:c r="D1407" s="161" t="n">
        <x:v>1</x:v>
      </x:c>
      <x:c r="E1407" s="163" t="n">
        <x:v>-3049.3822935434287</x:v>
      </x:c>
      <x:c r="F1407" s="163" t="n">
        <x:v>0</x:v>
      </x:c>
      <x:c r="G1407" s="145" t="n">
        <x:v>0.031099591317376715</x:v>
      </x:c>
      <x:c r="H1407" s="145" t="n">
        <x:v>0.5</x:v>
      </x:c>
      <x:c r="I1407" s="136" t="str">
        <x:v>NONPOSITIVE-MODEL-MARGIN</x:v>
      </x:c>
      <x:c r="J1407" s="136" t="str">
        <x:v>V0.7-CONTROLLED-RESEARCH-SCREEN-NOT-DISTRIBUTION</x:v>
      </x:c>
    </x:row>
    <x:row r="1408" ht="22" customHeight="1">
      <x:c r="A1408" s="137" t="str">
        <x:v>SCR-1403</x:v>
      </x:c>
      <x:c r="B1408" s="142" t="n">
        <x:v>0.0000017076923076923075</x:v>
      </x:c>
      <x:c r="C1408" s="142" t="n">
        <x:v>0.005153846153846154</x:v>
      </x:c>
      <x:c r="D1408" s="160" t="n">
        <x:v>1</x:v>
      </x:c>
      <x:c r="E1408" s="162" t="n">
        <x:v>-3058.042950187749</x:v>
      </x:c>
      <x:c r="F1408" s="162" t="n">
        <x:v>0</x:v>
      </x:c>
      <x:c r="G1408" s="144" t="n">
        <x:v>0.03124532636814359</x:v>
      </x:c>
      <x:c r="H1408" s="144" t="n">
        <x:v>0.5</x:v>
      </x:c>
      <x:c r="I1408" s="137" t="str">
        <x:v>NONPOSITIVE-MODEL-MARGIN</x:v>
      </x:c>
      <x:c r="J1408" s="137" t="str">
        <x:v>V0.7-CONTROLLED-RESEARCH-SCREEN-NOT-DISTRIBUTION</x:v>
      </x:c>
    </x:row>
    <x:row r="1409" ht="22" customHeight="1">
      <x:c r="A1409" s="136" t="str">
        <x:v>SCR-1404</x:v>
      </x:c>
      <x:c r="B1409" s="143" t="n">
        <x:v>0.0000017076923076923075</x:v>
      </x:c>
      <x:c r="C1409" s="143" t="n">
        <x:v>0.005461538461538462</x:v>
      </x:c>
      <x:c r="D1409" s="161" t="n">
        <x:v>1</x:v>
      </x:c>
      <x:c r="E1409" s="163" t="n">
        <x:v>-3075.3302216884013</x:v>
      </x:c>
      <x:c r="F1409" s="163" t="n">
        <x:v>0</x:v>
      </x:c>
      <x:c r="G1409" s="145" t="n">
        <x:v>0.03153679646967735</x:v>
      </x:c>
      <x:c r="H1409" s="145" t="n">
        <x:v>0.5</x:v>
      </x:c>
      <x:c r="I1409" s="136" t="str">
        <x:v>NONPOSITIVE-MODEL-MARGIN</x:v>
      </x:c>
      <x:c r="J1409" s="136" t="str">
        <x:v>V0.7-CONTROLLED-RESEARCH-SCREEN-NOT-DISTRIBUTION</x:v>
      </x:c>
    </x:row>
    <x:row r="1410" ht="22" customHeight="1">
      <x:c r="A1410" s="137" t="str">
        <x:v>SCR-1405</x:v>
      </x:c>
      <x:c r="B1410" s="142" t="n">
        <x:v>0.0000017076923076923075</x:v>
      </x:c>
      <x:c r="C1410" s="142" t="n">
        <x:v>0.0057692307692307696</x:v>
      </x:c>
      <x:c r="D1410" s="160" t="n">
        <x:v>1</x:v>
      </x:c>
      <x:c r="E1410" s="162" t="n">
        <x:v>-3092.572381249658</x:v>
      </x:c>
      <x:c r="F1410" s="162" t="n">
        <x:v>0</x:v>
      </x:c>
      <x:c r="G1410" s="144" t="n">
        <x:v>0.031828266571211086</x:v>
      </x:c>
      <x:c r="H1410" s="144" t="n">
        <x:v>0.5</x:v>
      </x:c>
      <x:c r="I1410" s="137" t="str">
        <x:v>NONPOSITIVE-MODEL-MARGIN</x:v>
      </x:c>
      <x:c r="J1410" s="137" t="str">
        <x:v>V0.7-CONTROLLED-RESEARCH-SCREEN-NOT-DISTRIBUTION</x:v>
      </x:c>
    </x:row>
    <x:row r="1411" ht="22" customHeight="1">
      <x:c r="A1411" s="136" t="str">
        <x:v>SCR-1406</x:v>
      </x:c>
      <x:c r="B1411" s="143" t="n">
        <x:v>0.0000017076923076923075</x:v>
      </x:c>
      <x:c r="C1411" s="143" t="n">
        <x:v>0.006076923076923077</x:v>
      </x:c>
      <x:c r="D1411" s="161" t="n">
        <x:v>1</x:v>
      </x:c>
      <x:c r="E1411" s="163" t="n">
        <x:v>-3109.769757160845</x:v>
      </x:c>
      <x:c r="F1411" s="163" t="n">
        <x:v>0</x:v>
      </x:c>
      <x:c r="G1411" s="145" t="n">
        <x:v>0.032119736672744835</x:v>
      </x:c>
      <x:c r="H1411" s="145" t="n">
        <x:v>0.5</x:v>
      </x:c>
      <x:c r="I1411" s="136" t="str">
        <x:v>NONPOSITIVE-MODEL-MARGIN</x:v>
      </x:c>
      <x:c r="J1411" s="136" t="str">
        <x:v>V0.7-CONTROLLED-RESEARCH-SCREEN-NOT-DISTRIBUTION</x:v>
      </x:c>
    </x:row>
    <x:row r="1412" ht="22" customHeight="1">
      <x:c r="A1412" s="137" t="str">
        <x:v>SCR-1407</x:v>
      </x:c>
      <x:c r="B1412" s="142" t="n">
        <x:v>0.0000017076923076923075</x:v>
      </x:c>
      <x:c r="C1412" s="142" t="n">
        <x:v>0.006384615384615384</x:v>
      </x:c>
      <x:c r="D1412" s="160" t="n">
        <x:v>1</x:v>
      </x:c>
      <x:c r="E1412" s="162" t="n">
        <x:v>-3126.9226729493325</x:v>
      </x:c>
      <x:c r="F1412" s="162" t="n">
        <x:v>0</x:v>
      </x:c>
      <x:c r="G1412" s="144" t="n">
        <x:v>0.0324112067742786</x:v>
      </x:c>
      <x:c r="H1412" s="144" t="n">
        <x:v>0.5</x:v>
      </x:c>
      <x:c r="I1412" s="137" t="str">
        <x:v>NONPOSITIVE-MODEL-MARGIN</x:v>
      </x:c>
      <x:c r="J1412" s="137" t="str">
        <x:v>V0.7-CONTROLLED-RESEARCH-SCREEN-NOT-DISTRIBUTION</x:v>
      </x:c>
    </x:row>
    <x:row r="1413" ht="22" customHeight="1">
      <x:c r="A1413" s="136" t="str">
        <x:v>SCR-1408</x:v>
      </x:c>
      <x:c r="B1413" s="143" t="n">
        <x:v>0.0000017076923076923075</x:v>
      </x:c>
      <x:c r="C1413" s="143" t="n">
        <x:v>0.006692307692307693</x:v>
      </x:c>
      <x:c r="D1413" s="161" t="n">
        <x:v>1</x:v>
      </x:c>
      <x:c r="E1413" s="163" t="n">
        <x:v>-3144.031447476657</x:v>
      </x:c>
      <x:c r="F1413" s="163" t="n">
        <x:v>0</x:v>
      </x:c>
      <x:c r="G1413" s="145" t="n">
        <x:v>0.03270267687581235</x:v>
      </x:c>
      <x:c r="H1413" s="145" t="n">
        <x:v>0.5</x:v>
      </x:c>
      <x:c r="I1413" s="136" t="str">
        <x:v>NONPOSITIVE-MODEL-MARGIN</x:v>
      </x:c>
      <x:c r="J1413" s="136" t="str">
        <x:v>V0.7-CONTROLLED-RESEARCH-SCREEN-NOT-DISTRIBUTION</x:v>
      </x:c>
    </x:row>
    <x:row r="1414" ht="22" customHeight="1">
      <x:c r="A1414" s="137" t="str">
        <x:v>SCR-1409</x:v>
      </x:c>
      <x:c r="B1414" s="142" t="n">
        <x:v>0.0000017076923076923075</x:v>
      </x:c>
      <x:c r="C1414" s="142" t="n">
        <x:v>0.007</x:v>
      </x:c>
      <x:c r="D1414" s="160" t="n">
        <x:v>1</x:v>
      </x:c>
      <x:c r="E1414" s="162" t="n">
        <x:v>-3161.0963950324185</x:v>
      </x:c>
      <x:c r="F1414" s="162" t="n">
        <x:v>0</x:v>
      </x:c>
      <x:c r="G1414" s="144" t="n">
        <x:v>0.032994146977346095</x:v>
      </x:c>
      <x:c r="H1414" s="144" t="n">
        <x:v>0.5</x:v>
      </x:c>
      <x:c r="I1414" s="137" t="str">
        <x:v>NONPOSITIVE-MODEL-MARGIN</x:v>
      </x:c>
      <x:c r="J1414" s="137" t="str">
        <x:v>V0.7-CONTROLLED-RESEARCH-SCREEN-NOT-DISTRIBUTION</x:v>
      </x:c>
    </x:row>
    <x:row r="1415" ht="22" customHeight="1">
      <x:c r="A1415" s="136" t="str">
        <x:v>SCR-1410</x:v>
      </x:c>
      <x:c r="B1415" s="143" t="n">
        <x:v>0.0000017076923076923075</x:v>
      </x:c>
      <x:c r="C1415" s="143" t="n">
        <x:v>0.007307692307692308</x:v>
      </x:c>
      <x:c r="D1415" s="161" t="n">
        <x:v>1</x:v>
      </x:c>
      <x:c r="E1415" s="163" t="n">
        <x:v>-3178.117825425936</x:v>
      </x:c>
      <x:c r="F1415" s="163" t="n">
        <x:v>0</x:v>
      </x:c>
      <x:c r="G1415" s="145" t="n">
        <x:v>0.033285617078879844</x:v>
      </x:c>
      <x:c r="H1415" s="145" t="n">
        <x:v>0.5</x:v>
      </x:c>
      <x:c r="I1415" s="136" t="str">
        <x:v>NONPOSITIVE-MODEL-MARGIN</x:v>
      </x:c>
      <x:c r="J1415" s="136" t="str">
        <x:v>V0.7-CONTROLLED-RESEARCH-SCREEN-NOT-DISTRIBUTION</x:v>
      </x:c>
    </x:row>
    <x:row r="1416" ht="22" customHeight="1">
      <x:c r="A1416" s="137" t="str">
        <x:v>SCR-1411</x:v>
      </x:c>
      <x:c r="B1416" s="142" t="n">
        <x:v>0.0000017076923076923075</x:v>
      </x:c>
      <x:c r="C1416" s="142" t="n">
        <x:v>0.007615384615384616</x:v>
      </x:c>
      <x:c r="D1416" s="160" t="n">
        <x:v>1</x:v>
      </x:c>
      <x:c r="E1416" s="162" t="n">
        <x:v>-3195.096044075682</x:v>
      </x:c>
      <x:c r="F1416" s="162" t="n">
        <x:v>0</x:v>
      </x:c>
      <x:c r="G1416" s="144" t="n">
        <x:v>0.033577087180413606</x:v>
      </x:c>
      <x:c r="H1416" s="144" t="n">
        <x:v>0.5</x:v>
      </x:c>
      <x:c r="I1416" s="137" t="str">
        <x:v>NONPOSITIVE-MODEL-MARGIN</x:v>
      </x:c>
      <x:c r="J1416" s="137" t="str">
        <x:v>V0.7-CONTROLLED-RESEARCH-SCREEN-NOT-DISTRIBUTION</x:v>
      </x:c>
    </x:row>
    <x:row r="1417" ht="22" customHeight="1">
      <x:c r="A1417" s="136" t="str">
        <x:v>SCR-1412</x:v>
      </x:c>
      <x:c r="B1417" s="143" t="n">
        <x:v>0.0000017076923076923075</x:v>
      </x:c>
      <x:c r="C1417" s="143" t="n">
        <x:v>0.007923076923076923</x:v>
      </x:c>
      <x:c r="D1417" s="161" t="n">
        <x:v>1</x:v>
      </x:c>
      <x:c r="E1417" s="163" t="n">
        <x:v>-3212.031352096595</x:v>
      </x:c>
      <x:c r="F1417" s="163" t="n">
        <x:v>0</x:v>
      </x:c>
      <x:c r="G1417" s="145" t="n">
        <x:v>0.03386855728194734</x:v>
      </x:c>
      <x:c r="H1417" s="145" t="n">
        <x:v>0.5</x:v>
      </x:c>
      <x:c r="I1417" s="136" t="str">
        <x:v>NONPOSITIVE-MODEL-MARGIN</x:v>
      </x:c>
      <x:c r="J1417" s="136" t="str">
        <x:v>V0.7-CONTROLLED-RESEARCH-SCREEN-NOT-DISTRIBUTION</x:v>
      </x:c>
    </x:row>
    <x:row r="1418" ht="22" customHeight="1">
      <x:c r="A1418" s="137" t="str">
        <x:v>SCR-1413</x:v>
      </x:c>
      <x:c r="B1418" s="142" t="n">
        <x:v>0.0000017076923076923075</x:v>
      </x:c>
      <x:c r="C1418" s="142" t="n">
        <x:v>0.00823076923076923</x:v>
      </x:c>
      <x:c r="D1418" s="160" t="n">
        <x:v>1</x:v>
      </x:c>
      <x:c r="E1418" s="162" t="n">
        <x:v>-3228.924046385359</x:v>
      </x:c>
      <x:c r="F1418" s="162" t="n">
        <x:v>0</x:v>
      </x:c>
      <x:c r="G1418" s="144" t="n">
        <x:v>0.0341600273834811</x:v>
      </x:c>
      <x:c r="H1418" s="144" t="n">
        <x:v>0.5</x:v>
      </x:c>
      <x:c r="I1418" s="137" t="str">
        <x:v>NONPOSITIVE-MODEL-MARGIN</x:v>
      </x:c>
      <x:c r="J1418" s="137" t="str">
        <x:v>V0.7-CONTROLLED-RESEARCH-SCREEN-NOT-DISTRIBUTION</x:v>
      </x:c>
    </x:row>
    <x:row r="1419" ht="22" customHeight="1">
      <x:c r="A1419" s="136" t="str">
        <x:v>SCR-1414</x:v>
      </x:c>
      <x:c r="B1419" s="143" t="n">
        <x:v>0.0000017076923076923075</x:v>
      </x:c>
      <x:c r="C1419" s="143" t="n">
        <x:v>0.00853846153846154</x:v>
      </x:c>
      <x:c r="D1419" s="161" t="n">
        <x:v>1</x:v>
      </x:c>
      <x:c r="E1419" s="163" t="n">
        <x:v>-3245.7744197035577</x:v>
      </x:c>
      <x:c r="F1419" s="163" t="n">
        <x:v>0</x:v>
      </x:c>
      <x:c r="G1419" s="145" t="n">
        <x:v>0.03445149748501485</x:v>
      </x:c>
      <x:c r="H1419" s="145" t="n">
        <x:v>0.5</x:v>
      </x:c>
      <x:c r="I1419" s="136" t="str">
        <x:v>NONPOSITIVE-MODEL-MARGIN</x:v>
      </x:c>
      <x:c r="J1419" s="136" t="str">
        <x:v>V0.7-CONTROLLED-RESEARCH-SCREEN-NOT-DISTRIBUTION</x:v>
      </x:c>
    </x:row>
    <x:row r="1420" ht="22" customHeight="1">
      <x:c r="A1420" s="137" t="str">
        <x:v>SCR-1415</x:v>
      </x:c>
      <x:c r="B1420" s="142" t="n">
        <x:v>0.0000017076923076923075</x:v>
      </x:c>
      <x:c r="C1420" s="142" t="n">
        <x:v>0.008846153846153847</x:v>
      </x:c>
      <x:c r="D1420" s="160" t="n">
        <x:v>1</x:v>
      </x:c>
      <x:c r="E1420" s="162" t="n">
        <x:v>-3262.5827607589176</x:v>
      </x:c>
      <x:c r="F1420" s="162" t="n">
        <x:v>0</x:v>
      </x:c>
      <x:c r="G1420" s="144" t="n">
        <x:v>0.034742967586548615</x:v>
      </x:c>
      <x:c r="H1420" s="144" t="n">
        <x:v>0.5</x:v>
      </x:c>
      <x:c r="I1420" s="137" t="str">
        <x:v>NONPOSITIVE-MODEL-MARGIN</x:v>
      </x:c>
      <x:c r="J1420" s="137" t="str">
        <x:v>V0.7-CONTROLLED-RESEARCH-SCREEN-NOT-DISTRIBUTION</x:v>
      </x:c>
    </x:row>
    <x:row r="1421" ht="22" customHeight="1">
      <x:c r="A1421" s="136" t="str">
        <x:v>SCR-1416</x:v>
      </x:c>
      <x:c r="B1421" s="143" t="n">
        <x:v>0.0000017076923076923075</x:v>
      </x:c>
      <x:c r="C1421" s="143" t="n">
        <x:v>0.009153846153846155</x:v>
      </x:c>
      <x:c r="D1421" s="161" t="n">
        <x:v>1</x:v>
      </x:c>
      <x:c r="E1421" s="163" t="n">
        <x:v>-3279.3493542846068</x:v>
      </x:c>
      <x:c r="F1421" s="163" t="n">
        <x:v>0</x:v>
      </x:c>
      <x:c r="G1421" s="145" t="n">
        <x:v>0.03503443768808236</x:v>
      </x:c>
      <x:c r="H1421" s="145" t="n">
        <x:v>0.5</x:v>
      </x:c>
      <x:c r="I1421" s="136" t="str">
        <x:v>NONPOSITIVE-MODEL-MARGIN</x:v>
      </x:c>
      <x:c r="J1421" s="136" t="str">
        <x:v>V0.7-CONTROLLED-RESEARCH-SCREEN-NOT-DISTRIBUTION</x:v>
      </x:c>
    </x:row>
    <x:row r="1422" ht="22" customHeight="1">
      <x:c r="A1422" s="137" t="str">
        <x:v>SCR-1417</x:v>
      </x:c>
      <x:c r="B1422" s="142" t="n">
        <x:v>0.0000017076923076923075</x:v>
      </x:c>
      <x:c r="C1422" s="142" t="n">
        <x:v>0.009461538461538462</x:v>
      </x:c>
      <x:c r="D1422" s="160" t="n">
        <x:v>1</x:v>
      </x:c>
      <x:c r="E1422" s="162" t="n">
        <x:v>-3296.074481116587</x:v>
      </x:c>
      <x:c r="F1422" s="162" t="n">
        <x:v>0</x:v>
      </x:c>
      <x:c r="G1422" s="144" t="n">
        <x:v>0.0353259077896161</x:v>
      </x:c>
      <x:c r="H1422" s="144" t="n">
        <x:v>0.5</x:v>
      </x:c>
      <x:c r="I1422" s="137" t="str">
        <x:v>NONPOSITIVE-MODEL-MARGIN</x:v>
      </x:c>
      <x:c r="J1422" s="137" t="str">
        <x:v>V0.7-CONTROLLED-RESEARCH-SCREEN-NOT-DISTRIBUTION</x:v>
      </x:c>
    </x:row>
    <x:row r="1423" ht="22" customHeight="1">
      <x:c r="A1423" s="136" t="str">
        <x:v>SCR-1418</x:v>
      </x:c>
      <x:c r="B1423" s="143" t="n">
        <x:v>0.0000017076923076923075</x:v>
      </x:c>
      <x:c r="C1423" s="143" t="n">
        <x:v>0.00976923076923077</x:v>
      </x:c>
      <x:c r="D1423" s="161" t="n">
        <x:v>1</x:v>
      </x:c>
      <x:c r="E1423" s="163" t="n">
        <x:v>-3312.758418269218</x:v>
      </x:c>
      <x:c r="F1423" s="163" t="n">
        <x:v>0</x:v>
      </x:c>
      <x:c r="G1423" s="145" t="n">
        <x:v>0.03561737789114986</x:v>
      </x:c>
      <x:c r="H1423" s="145" t="n">
        <x:v>0.5</x:v>
      </x:c>
      <x:c r="I1423" s="136" t="str">
        <x:v>NONPOSITIVE-MODEL-MARGIN</x:v>
      </x:c>
      <x:c r="J1423" s="136" t="str">
        <x:v>V0.7-CONTROLLED-RESEARCH-SCREEN-NOT-DISTRIBUTION</x:v>
      </x:c>
    </x:row>
    <x:row r="1424" ht="22" customHeight="1">
      <x:c r="A1424" s="137" t="str">
        <x:v>SCR-1419</x:v>
      </x:c>
      <x:c r="B1424" s="142" t="n">
        <x:v>0.0000017076923076923075</x:v>
      </x:c>
      <x:c r="C1424" s="142" t="n">
        <x:v>0.010076923076923077</x:v>
      </x:c>
      <x:c r="D1424" s="160" t="n">
        <x:v>1</x:v>
      </x:c>
      <x:c r="E1424" s="162" t="n">
        <x:v>-3329.401439008969</x:v>
      </x:c>
      <x:c r="F1424" s="162" t="n">
        <x:v>0</x:v>
      </x:c>
      <x:c r="G1424" s="144" t="n">
        <x:v>0.0359088479926836</x:v>
      </x:c>
      <x:c r="H1424" s="144" t="n">
        <x:v>0.5</x:v>
      </x:c>
      <x:c r="I1424" s="137" t="str">
        <x:v>NONPOSITIVE-MODEL-MARGIN</x:v>
      </x:c>
      <x:c r="J1424" s="137" t="str">
        <x:v>V0.7-CONTROLLED-RESEARCH-SCREEN-NOT-DISTRIBUTION</x:v>
      </x:c>
    </x:row>
    <x:row r="1425" ht="22" customHeight="1">
      <x:c r="A1425" s="136" t="str">
        <x:v>SCR-1420</x:v>
      </x:c>
      <x:c r="B1425" s="143" t="n">
        <x:v>0.0000017076923076923075</x:v>
      </x:c>
      <x:c r="C1425" s="143" t="n">
        <x:v>0.010384615384615384</x:v>
      </x:c>
      <x:c r="D1425" s="161" t="n">
        <x:v>1</x:v>
      </x:c>
      <x:c r="E1425" s="163" t="n">
        <x:v>-3342.721997358216</x:v>
      </x:c>
      <x:c r="F1425" s="163" t="n">
        <x:v>0</x:v>
      </x:c>
      <x:c r="G1425" s="145" t="n">
        <x:v>0.03620031809421735</x:v>
      </x:c>
      <x:c r="H1425" s="145" t="n">
        <x:v>0.5</x:v>
      </x:c>
      <x:c r="I1425" s="136" t="str">
        <x:v>NONPOSITIVE-MODEL-MARGIN</x:v>
      </x:c>
      <x:c r="J1425" s="136" t="str">
        <x:v>V0.7-CONTROLLED-RESEARCH-SCREEN-NOT-DISTRIBUTION</x:v>
      </x:c>
    </x:row>
    <x:row r="1426" ht="22" customHeight="1">
      <x:c r="A1426" s="137" t="str">
        <x:v>SCR-1421</x:v>
      </x:c>
      <x:c r="B1426" s="142" t="n">
        <x:v>0.0000017076923076923075</x:v>
      </x:c>
      <x:c r="C1426" s="142" t="n">
        <x:v>0.010692307692307692</x:v>
      </x:c>
      <x:c r="D1426" s="160" t="n">
        <x:v>1</x:v>
      </x:c>
      <x:c r="E1426" s="162" t="n">
        <x:v>-3359.292312250376</x:v>
      </x:c>
      <x:c r="F1426" s="162" t="n">
        <x:v>0</x:v>
      </x:c>
      <x:c r="G1426" s="144" t="n">
        <x:v>0.03649178819575111</x:v>
      </x:c>
      <x:c r="H1426" s="144" t="n">
        <x:v>0.5</x:v>
      </x:c>
      <x:c r="I1426" s="137" t="str">
        <x:v>NONPOSITIVE-MODEL-MARGIN</x:v>
      </x:c>
      <x:c r="J1426" s="137" t="str">
        <x:v>V0.7-CONTROLLED-RESEARCH-SCREEN-NOT-DISTRIBUTION</x:v>
      </x:c>
    </x:row>
    <x:row r="1427" ht="22" customHeight="1">
      <x:c r="A1427" s="136" t="str">
        <x:v>SCR-1422</x:v>
      </x:c>
      <x:c r="B1427" s="143" t="n">
        <x:v>0.0000017076923076923075</x:v>
      </x:c>
      <x:c r="C1427" s="143" t="n">
        <x:v>0.011</x:v>
      </x:c>
      <x:c r="D1427" s="161" t="n">
        <x:v>1</x:v>
      </x:c>
      <x:c r="E1427" s="163" t="n">
        <x:v>-3375.822445046351</x:v>
      </x:c>
      <x:c r="F1427" s="163" t="n">
        <x:v>0</x:v>
      </x:c>
      <x:c r="G1427" s="145" t="n">
        <x:v>0.03678325829728486</x:v>
      </x:c>
      <x:c r="H1427" s="145" t="n">
        <x:v>0.5</x:v>
      </x:c>
      <x:c r="I1427" s="136" t="str">
        <x:v>NONPOSITIVE-MODEL-MARGIN</x:v>
      </x:c>
      <x:c r="J1427" s="136" t="str">
        <x:v>V0.7-CONTROLLED-RESEARCH-SCREEN-NOT-DISTRIBUTION</x:v>
      </x:c>
    </x:row>
    <x:row r="1428" ht="22" customHeight="1">
      <x:c r="A1428" s="137" t="str">
        <x:v>SCR-1423</x:v>
      </x:c>
      <x:c r="B1428" s="142" t="n">
        <x:v>0.0000017076923076923075</x:v>
      </x:c>
      <x:c r="C1428" s="142" t="n">
        <x:v>0.011307692307692307</x:v>
      </x:c>
      <x:c r="D1428" s="160" t="n">
        <x:v>1</x:v>
      </x:c>
      <x:c r="E1428" s="162" t="n">
        <x:v>-3392.312655731568</x:v>
      </x:c>
      <x:c r="F1428" s="162" t="n">
        <x:v>0</x:v>
      </x:c>
      <x:c r="G1428" s="144" t="n">
        <x:v>0.037074728398818604</x:v>
      </x:c>
      <x:c r="H1428" s="144" t="n">
        <x:v>0.5</x:v>
      </x:c>
      <x:c r="I1428" s="137" t="str">
        <x:v>NONPOSITIVE-MODEL-MARGIN</x:v>
      </x:c>
      <x:c r="J1428" s="137" t="str">
        <x:v>V0.7-CONTROLLED-RESEARCH-SCREEN-NOT-DISTRIBUTION</x:v>
      </x:c>
    </x:row>
    <x:row r="1429" ht="22" customHeight="1">
      <x:c r="A1429" s="136" t="str">
        <x:v>SCR-1424</x:v>
      </x:c>
      <x:c r="B1429" s="143" t="n">
        <x:v>0.0000017076923076923075</x:v>
      </x:c>
      <x:c r="C1429" s="143" t="n">
        <x:v>0.011615384615384614</x:v>
      </x:c>
      <x:c r="D1429" s="161" t="n">
        <x:v>1</x:v>
      </x:c>
      <x:c r="E1429" s="163" t="n">
        <x:v>-3408.763200863389</x:v>
      </x:c>
      <x:c r="F1429" s="163" t="n">
        <x:v>0</x:v>
      </x:c>
      <x:c r="G1429" s="145" t="n">
        <x:v>0.03736619850035235</x:v>
      </x:c>
      <x:c r="H1429" s="145" t="n">
        <x:v>0.5</x:v>
      </x:c>
      <x:c r="I1429" s="136" t="str">
        <x:v>NONPOSITIVE-MODEL-MARGIN</x:v>
      </x:c>
      <x:c r="J1429" s="136" t="str">
        <x:v>V0.7-CONTROLLED-RESEARCH-SCREEN-NOT-DISTRIBUTION</x:v>
      </x:c>
    </x:row>
    <x:row r="1430" ht="22" customHeight="1">
      <x:c r="A1430" s="137" t="str">
        <x:v>SCR-1425</x:v>
      </x:c>
      <x:c r="B1430" s="142" t="n">
        <x:v>0.0000017076923076923075</x:v>
      </x:c>
      <x:c r="C1430" s="142" t="n">
        <x:v>0.011923076923076925</x:v>
      </x:c>
      <x:c r="D1430" s="160" t="n">
        <x:v>1</x:v>
      </x:c>
      <x:c r="E1430" s="162" t="n">
        <x:v>-3425.174333635717</x:v>
      </x:c>
      <x:c r="F1430" s="162" t="n">
        <x:v>0</x:v>
      </x:c>
      <x:c r="G1430" s="144" t="n">
        <x:v>0.037657668601886116</x:v>
      </x:c>
      <x:c r="H1430" s="144" t="n">
        <x:v>0.5</x:v>
      </x:c>
      <x:c r="I1430" s="137" t="str">
        <x:v>NONPOSITIVE-MODEL-MARGIN</x:v>
      </x:c>
      <x:c r="J1430" s="137" t="str">
        <x:v>V0.7-CONTROLLED-RESEARCH-SCREEN-NOT-DISTRIBUTION</x:v>
      </x:c>
    </x:row>
    <x:row r="1431" ht="22" customHeight="1">
      <x:c r="A1431" s="136" t="str">
        <x:v>SCR-1426</x:v>
      </x:c>
      <x:c r="B1431" s="143" t="n">
        <x:v>0.0000017076923076923075</x:v>
      </x:c>
      <x:c r="C1431" s="143" t="n">
        <x:v>0.012230769230769233</x:v>
      </x:c>
      <x:c r="D1431" s="161" t="n">
        <x:v>1</x:v>
      </x:c>
      <x:c r="E1431" s="163" t="n">
        <x:v>-3441.5463039421475</x:v>
      </x:c>
      <x:c r="F1431" s="163" t="n">
        <x:v>0</x:v>
      </x:c>
      <x:c r="G1431" s="145" t="n">
        <x:v>0.03794913870341986</x:v>
      </x:c>
      <x:c r="H1431" s="145" t="n">
        <x:v>0.5</x:v>
      </x:c>
      <x:c r="I1431" s="136" t="str">
        <x:v>NONPOSITIVE-MODEL-MARGIN</x:v>
      </x:c>
      <x:c r="J1431" s="136" t="str">
        <x:v>V0.7-CONTROLLED-RESEARCH-SCREEN-NOT-DISTRIBUTION</x:v>
      </x:c>
    </x:row>
    <x:row r="1432" ht="22" customHeight="1">
      <x:c r="A1432" s="137" t="str">
        <x:v>SCR-1427</x:v>
      </x:c>
      <x:c r="B1432" s="142" t="n">
        <x:v>0.0000017076923076923075</x:v>
      </x:c>
      <x:c r="C1432" s="142" t="n">
        <x:v>0.01253846153846154</x:v>
      </x:c>
      <x:c r="D1432" s="160" t="n">
        <x:v>1</x:v>
      </x:c>
      <x:c r="E1432" s="162" t="n">
        <x:v>-3457.879358437625</x:v>
      </x:c>
      <x:c r="F1432" s="162" t="n">
        <x:v>0</x:v>
      </x:c>
      <x:c r="G1432" s="144" t="n">
        <x:v>0.03824060880495361</x:v>
      </x:c>
      <x:c r="H1432" s="144" t="n">
        <x:v>0.5</x:v>
      </x:c>
      <x:c r="I1432" s="137" t="str">
        <x:v>NONPOSITIVE-MODEL-MARGIN</x:v>
      </x:c>
      <x:c r="J1432" s="137" t="str">
        <x:v>V0.7-CONTROLLED-RESEARCH-SCREEN-NOT-DISTRIBUTION</x:v>
      </x:c>
    </x:row>
    <x:row r="1433" ht="22" customHeight="1">
      <x:c r="A1433" s="136" t="str">
        <x:v>SCR-1428</x:v>
      </x:c>
      <x:c r="B1433" s="143" t="n">
        <x:v>0.0000017076923076923075</x:v>
      </x:c>
      <x:c r="C1433" s="143" t="n">
        <x:v>0.012846153846153847</x:v>
      </x:c>
      <x:c r="D1433" s="161" t="n">
        <x:v>1</x:v>
      </x:c>
      <x:c r="E1433" s="163" t="n">
        <x:v>-3474.1737405986064</x:v>
      </x:c>
      <x:c r="F1433" s="163" t="n">
        <x:v>0</x:v>
      </x:c>
      <x:c r="G1433" s="145" t="n">
        <x:v>0.03853207890648736</x:v>
      </x:c>
      <x:c r="H1433" s="145" t="n">
        <x:v>0.5</x:v>
      </x:c>
      <x:c r="I1433" s="136" t="str">
        <x:v>NONPOSITIVE-MODEL-MARGIN</x:v>
      </x:c>
      <x:c r="J1433" s="136" t="str">
        <x:v>V0.7-CONTROLLED-RESEARCH-SCREEN-NOT-DISTRIBUTION</x:v>
      </x:c>
    </x:row>
    <x:row r="1434" ht="22" customHeight="1">
      <x:c r="A1434" s="137" t="str">
        <x:v>SCR-1429</x:v>
      </x:c>
      <x:c r="B1434" s="142" t="n">
        <x:v>0.0000017076923076923075</x:v>
      </x:c>
      <x:c r="C1434" s="142" t="n">
        <x:v>0.013153846153846155</x:v>
      </x:c>
      <x:c r="D1434" s="160" t="n">
        <x:v>1</x:v>
      </x:c>
      <x:c r="E1434" s="162" t="n">
        <x:v>-3490.4296907819</x:v>
      </x:c>
      <x:c r="F1434" s="162" t="n">
        <x:v>0</x:v>
      </x:c>
      <x:c r="G1434" s="144" t="n">
        <x:v>0.03882354900802112</x:v>
      </x:c>
      <x:c r="H1434" s="144" t="n">
        <x:v>0.5</x:v>
      </x:c>
      <x:c r="I1434" s="137" t="str">
        <x:v>NONPOSITIVE-MODEL-MARGIN</x:v>
      </x:c>
      <x:c r="J1434" s="137" t="str">
        <x:v>V0.7-CONTROLLED-RESEARCH-SCREEN-NOT-DISTRIBUTION</x:v>
      </x:c>
    </x:row>
    <x:row r="1435" ht="22" customHeight="1">
      <x:c r="A1435" s="136" t="str">
        <x:v>SCR-1430</x:v>
      </x:c>
      <x:c r="B1435" s="143" t="n">
        <x:v>0.0000017076923076923075</x:v>
      </x:c>
      <x:c r="C1435" s="143" t="n">
        <x:v>0.013461538461538462</x:v>
      </x:c>
      <x:c r="D1435" s="161" t="n">
        <x:v>1</x:v>
      </x:c>
      <x:c r="E1435" s="163" t="n">
        <x:v>-3506.6474462820543</x:v>
      </x:c>
      <x:c r="F1435" s="163" t="n">
        <x:v>0</x:v>
      </x:c>
      <x:c r="G1435" s="145" t="n">
        <x:v>0.03911501910955487</x:v>
      </x:c>
      <x:c r="H1435" s="145" t="n">
        <x:v>0.5</x:v>
      </x:c>
      <x:c r="I1435" s="136" t="str">
        <x:v>NONPOSITIVE-MODEL-MARGIN</x:v>
      </x:c>
      <x:c r="J1435" s="136" t="str">
        <x:v>V0.7-CONTROLLED-RESEARCH-SCREEN-NOT-DISTRIBUTION</x:v>
      </x:c>
    </x:row>
    <x:row r="1436" ht="22" customHeight="1">
      <x:c r="A1436" s="137" t="str">
        <x:v>SCR-1431</x:v>
      </x:c>
      <x:c r="B1436" s="142" t="n">
        <x:v>0.0000017076923076923075</x:v>
      </x:c>
      <x:c r="C1436" s="142" t="n">
        <x:v>0.01376923076923077</x:v>
      </x:c>
      <x:c r="D1436" s="160" t="n">
        <x:v>1</x:v>
      </x:c>
      <x:c r="E1436" s="162" t="n">
        <x:v>-3522.827241387463</x:v>
      </x:c>
      <x:c r="F1436" s="162" t="n">
        <x:v>0</x:v>
      </x:c>
      <x:c r="G1436" s="144" t="n">
        <x:v>0.039406489211088615</x:v>
      </x:c>
      <x:c r="H1436" s="144" t="n">
        <x:v>0.5</x:v>
      </x:c>
      <x:c r="I1436" s="137" t="str">
        <x:v>NONPOSITIVE-MODEL-MARGIN</x:v>
      </x:c>
      <x:c r="J1436" s="137" t="str">
        <x:v>V0.7-CONTROLLED-RESEARCH-SCREEN-NOT-DISTRIBUTION</x:v>
      </x:c>
    </x:row>
    <x:row r="1437" ht="22" customHeight="1">
      <x:c r="A1437" s="136" t="str">
        <x:v>SCR-1432</x:v>
      </x:c>
      <x:c r="B1437" s="143" t="n">
        <x:v>0.0000017076923076923075</x:v>
      </x:c>
      <x:c r="C1437" s="143" t="n">
        <x:v>0.014076923076923077</x:v>
      </x:c>
      <x:c r="D1437" s="161" t="n">
        <x:v>1</x:v>
      </x:c>
      <x:c r="E1437" s="163" t="n">
        <x:v>-3538.9693074351862</x:v>
      </x:c>
      <x:c r="F1437" s="163" t="n">
        <x:v>0</x:v>
      </x:c>
      <x:c r="G1437" s="145" t="n">
        <x:v>0.03969795931262237</x:v>
      </x:c>
      <x:c r="H1437" s="145" t="n">
        <x:v>0.5</x:v>
      </x:c>
      <x:c r="I1437" s="136" t="str">
        <x:v>NONPOSITIVE-MODEL-MARGIN</x:v>
      </x:c>
      <x:c r="J1437" s="136" t="str">
        <x:v>V0.7-CONTROLLED-RESEARCH-SCREEN-NOT-DISTRIBUTION</x:v>
      </x:c>
    </x:row>
    <x:row r="1438" ht="22" customHeight="1">
      <x:c r="A1438" s="137" t="str">
        <x:v>SCR-1433</x:v>
      </x:c>
      <x:c r="B1438" s="142" t="n">
        <x:v>0.0000017076923076923075</x:v>
      </x:c>
      <x:c r="C1438" s="142" t="n">
        <x:v>0.014384615384615385</x:v>
      </x:c>
      <x:c r="D1438" s="160" t="n">
        <x:v>1</x:v>
      </x:c>
      <x:c r="E1438" s="162" t="n">
        <x:v>-3555.073872864442</x:v>
      </x:c>
      <x:c r="F1438" s="162" t="n">
        <x:v>0</x:v>
      </x:c>
      <x:c r="G1438" s="144" t="n">
        <x:v>0.03998942941415611</x:v>
      </x:c>
      <x:c r="H1438" s="144" t="n">
        <x:v>0.5</x:v>
      </x:c>
      <x:c r="I1438" s="137" t="str">
        <x:v>NONPOSITIVE-MODEL-MARGIN</x:v>
      </x:c>
      <x:c r="J1438" s="137" t="str">
        <x:v>V0.7-CONTROLLED-RESEARCH-SCREEN-NOT-DISTRIBUTION</x:v>
      </x:c>
    </x:row>
    <x:row r="1439" ht="22" customHeight="1">
      <x:c r="A1439" s="136" t="str">
        <x:v>SCR-1434</x:v>
      </x:c>
      <x:c r="B1439" s="143" t="n">
        <x:v>0.0000017076923076923075</x:v>
      </x:c>
      <x:c r="C1439" s="143" t="n">
        <x:v>0.014692307692307692</x:v>
      </x:c>
      <x:c r="D1439" s="161" t="n">
        <x:v>1</x:v>
      </x:c>
      <x:c r="E1439" s="163" t="n">
        <x:v>-3571.1411632689587</x:v>
      </x:c>
      <x:c r="F1439" s="163" t="n">
        <x:v>0</x:v>
      </x:c>
      <x:c r="G1439" s="145" t="n">
        <x:v>0.04028089951568986</x:v>
      </x:c>
      <x:c r="H1439" s="145" t="n">
        <x:v>0.5</x:v>
      </x:c>
      <x:c r="I1439" s="136" t="str">
        <x:v>NONPOSITIVE-MODEL-MARGIN</x:v>
      </x:c>
      <x:c r="J1439" s="136" t="str">
        <x:v>V0.7-CONTROLLED-RESEARCH-SCREEN-NOT-DISTRIBUTION</x:v>
      </x:c>
    </x:row>
    <x:row r="1440" ht="22" customHeight="1">
      <x:c r="A1440" s="137" t="str">
        <x:v>SCR-1435</x:v>
      </x:c>
      <x:c r="B1440" s="142" t="n">
        <x:v>0.0000017076923076923075</x:v>
      </x:c>
      <x:c r="C1440" s="142" t="n">
        <x:v>0.015</x:v>
      </x:c>
      <x:c r="D1440" s="160" t="n">
        <x:v>1</x:v>
      </x:c>
      <x:c r="E1440" s="162" t="n">
        <x:v>-3587.1714014480367</x:v>
      </x:c>
      <x:c r="F1440" s="162" t="n">
        <x:v>0</x:v>
      </x:c>
      <x:c r="G1440" s="144" t="n">
        <x:v>0.040572369617223616</x:v>
      </x:c>
      <x:c r="H1440" s="144" t="n">
        <x:v>0.5</x:v>
      </x:c>
      <x:c r="I1440" s="137" t="str">
        <x:v>NONPOSITIVE-MODEL-MARGIN</x:v>
      </x:c>
      <x:c r="J1440" s="137" t="str">
        <x:v>V0.7-CONTROLLED-RESEARCH-SCREEN-NOT-DISTRIBUTION</x:v>
      </x:c>
    </x:row>
    <x:row r="1441" ht="22" customHeight="1">
      <x:c r="A1441" s="136" t="str">
        <x:v>SCR-1436</x:v>
      </x:c>
      <x:c r="B1441" s="143" t="n">
        <x:v>0.0000017564102564102563</x:v>
      </x:c>
      <x:c r="C1441" s="143" t="n">
        <x:v>0.003</x:v>
      </x:c>
      <x:c r="D1441" s="161" t="n">
        <x:v>1</x:v>
      </x:c>
      <x:c r="E1441" s="163" t="n">
        <x:v>-2980.6022700294775</x:v>
      </x:c>
      <x:c r="F1441" s="163" t="n">
        <x:v>0</x:v>
      </x:c>
      <x:c r="G1441" s="145" t="n">
        <x:v>0.029899449962935535</x:v>
      </x:c>
      <x:c r="H1441" s="145" t="n">
        <x:v>0.5</x:v>
      </x:c>
      <x:c r="I1441" s="136" t="str">
        <x:v>NONPOSITIVE-MODEL-MARGIN</x:v>
      </x:c>
      <x:c r="J1441" s="136" t="str">
        <x:v>V0.7-CONTROLLED-RESEARCH-SCREEN-NOT-DISTRIBUTION</x:v>
      </x:c>
    </x:row>
    <x:row r="1442" ht="22" customHeight="1">
      <x:c r="A1442" s="137" t="str">
        <x:v>SCR-1437</x:v>
      </x:c>
      <x:c r="B1442" s="142" t="n">
        <x:v>0.0000017564102564102563</x:v>
      </x:c>
      <x:c r="C1442" s="142" t="n">
        <x:v>0.003307692307692308</x:v>
      </x:c>
      <x:c r="D1442" s="160" t="n">
        <x:v>1</x:v>
      </x:c>
      <x:c r="E1442" s="162" t="n">
        <x:v>-2998.1054320520293</x:v>
      </x:c>
      <x:c r="F1442" s="162" t="n">
        <x:v>0</x:v>
      </x:c>
      <x:c r="G1442" s="144" t="n">
        <x:v>0.030190490180172593</x:v>
      </x:c>
      <x:c r="H1442" s="144" t="n">
        <x:v>0.5</x:v>
      </x:c>
      <x:c r="I1442" s="137" t="str">
        <x:v>NONPOSITIVE-MODEL-MARGIN</x:v>
      </x:c>
      <x:c r="J1442" s="137" t="str">
        <x:v>V0.7-CONTROLLED-RESEARCH-SCREEN-NOT-DISTRIBUTION</x:v>
      </x:c>
    </x:row>
    <x:row r="1443" ht="22" customHeight="1">
      <x:c r="A1443" s="136" t="str">
        <x:v>SCR-1438</x:v>
      </x:c>
      <x:c r="B1443" s="143" t="n">
        <x:v>0.0000017564102564102563</x:v>
      </x:c>
      <x:c r="C1443" s="143" t="n">
        <x:v>0.0036153846153846154</x:v>
      </x:c>
      <x:c r="D1443" s="161" t="n">
        <x:v>1</x:v>
      </x:c>
      <x:c r="E1443" s="163" t="n">
        <x:v>-3015.5619406625556</x:v>
      </x:c>
      <x:c r="F1443" s="163" t="n">
        <x:v>0</x:v>
      </x:c>
      <x:c r="G1443" s="145" t="n">
        <x:v>0.03048153039740964</x:v>
      </x:c>
      <x:c r="H1443" s="145" t="n">
        <x:v>0.5</x:v>
      </x:c>
      <x:c r="I1443" s="136" t="str">
        <x:v>NONPOSITIVE-MODEL-MARGIN</x:v>
      </x:c>
      <x:c r="J1443" s="136" t="str">
        <x:v>V0.7-CONTROLLED-RESEARCH-SCREEN-NOT-DISTRIBUTION</x:v>
      </x:c>
    </x:row>
    <x:row r="1444" ht="22" customHeight="1">
      <x:c r="A1444" s="137" t="str">
        <x:v>SCR-1439</x:v>
      </x:c>
      <x:c r="B1444" s="142" t="n">
        <x:v>0.0000017564102564102563</x:v>
      </x:c>
      <x:c r="C1444" s="142" t="n">
        <x:v>0.003923076923076923</x:v>
      </x:c>
      <x:c r="D1444" s="160" t="n">
        <x:v>1</x:v>
      </x:c>
      <x:c r="E1444" s="162" t="n">
        <x:v>-3032.9721469868787</x:v>
      </x:c>
      <x:c r="F1444" s="162" t="n">
        <x:v>0</x:v>
      </x:c>
      <x:c r="G1444" s="144" t="n">
        <x:v>0.030772570614646687</x:v>
      </x:c>
      <x:c r="H1444" s="144" t="n">
        <x:v>0.5</x:v>
      </x:c>
      <x:c r="I1444" s="137" t="str">
        <x:v>NONPOSITIVE-MODEL-MARGIN</x:v>
      </x:c>
      <x:c r="J1444" s="137" t="str">
        <x:v>V0.7-CONTROLLED-RESEARCH-SCREEN-NOT-DISTRIBUTION</x:v>
      </x:c>
    </x:row>
    <x:row r="1445" ht="22" customHeight="1">
      <x:c r="A1445" s="136" t="str">
        <x:v>SCR-1440</x:v>
      </x:c>
      <x:c r="B1445" s="143" t="n">
        <x:v>0.0000017564102564102563</x:v>
      </x:c>
      <x:c r="C1445" s="143" t="n">
        <x:v>0.004230769230769231</x:v>
      </x:c>
      <x:c r="D1445" s="161" t="n">
        <x:v>1</x:v>
      </x:c>
      <x:c r="E1445" s="163" t="n">
        <x:v>-3050.3363969207776</x:v>
      </x:c>
      <x:c r="F1445" s="163" t="n">
        <x:v>0</x:v>
      </x:c>
      <x:c r="G1445" s="145" t="n">
        <x:v>0.03106361083188374</x:v>
      </x:c>
      <x:c r="H1445" s="145" t="n">
        <x:v>0.5</x:v>
      </x:c>
      <x:c r="I1445" s="136" t="str">
        <x:v>NONPOSITIVE-MODEL-MARGIN</x:v>
      </x:c>
      <x:c r="J1445" s="136" t="str">
        <x:v>V0.7-CONTROLLED-RESEARCH-SCREEN-NOT-DISTRIBUTION</x:v>
      </x:c>
    </x:row>
    <x:row r="1446" ht="22" customHeight="1">
      <x:c r="A1446" s="137" t="str">
        <x:v>SCR-1441</x:v>
      </x:c>
      <x:c r="B1446" s="142" t="n">
        <x:v>0.0000017564102564102563</x:v>
      </x:c>
      <x:c r="C1446" s="142" t="n">
        <x:v>0.004538461538461538</x:v>
      </x:c>
      <x:c r="D1446" s="160" t="n">
        <x:v>1</x:v>
      </x:c>
      <x:c r="E1446" s="162" t="n">
        <x:v>-3067.6550312373406</x:v>
      </x:c>
      <x:c r="F1446" s="162" t="n">
        <x:v>0</x:v>
      </x:c>
      <x:c r="G1446" s="144" t="n">
        <x:v>0.03135465104912078</x:v>
      </x:c>
      <x:c r="H1446" s="144" t="n">
        <x:v>0.5</x:v>
      </x:c>
      <x:c r="I1446" s="137" t="str">
        <x:v>NONPOSITIVE-MODEL-MARGIN</x:v>
      </x:c>
      <x:c r="J1446" s="137" t="str">
        <x:v>V0.7-CONTROLLED-RESEARCH-SCREEN-NOT-DISTRIBUTION</x:v>
      </x:c>
    </x:row>
    <x:row r="1447" ht="22" customHeight="1">
      <x:c r="A1447" s="136" t="str">
        <x:v>SCR-1442</x:v>
      </x:c>
      <x:c r="B1447" s="143" t="n">
        <x:v>0.0000017564102564102563</x:v>
      </x:c>
      <x:c r="C1447" s="143" t="n">
        <x:v>0.004846153846153846</x:v>
      </x:c>
      <x:c r="D1447" s="161" t="n">
        <x:v>1</x:v>
      </x:c>
      <x:c r="E1447" s="163" t="n">
        <x:v>-3084.928385691772</x:v>
      </x:c>
      <x:c r="F1447" s="163" t="n">
        <x:v>0</x:v>
      </x:c>
      <x:c r="G1447" s="145" t="n">
        <x:v>0.03164569126635784</x:v>
      </x:c>
      <x:c r="H1447" s="145" t="n">
        <x:v>0.5</x:v>
      </x:c>
      <x:c r="I1447" s="136" t="str">
        <x:v>NONPOSITIVE-MODEL-MARGIN</x:v>
      </x:c>
      <x:c r="J1447" s="136" t="str">
        <x:v>V0.7-CONTROLLED-RESEARCH-SCREEN-NOT-DISTRIBUTION</x:v>
      </x:c>
    </x:row>
    <x:row r="1448" ht="22" customHeight="1">
      <x:c r="A1448" s="137" t="str">
        <x:v>SCR-1443</x:v>
      </x:c>
      <x:c r="B1448" s="142" t="n">
        <x:v>0.0000017564102564102563</x:v>
      </x:c>
      <x:c r="C1448" s="142" t="n">
        <x:v>0.005</x:v>
      </x:c>
      <x:c r="D1448" s="160" t="n">
        <x:v>1</x:v>
      </x:c>
      <x:c r="E1448" s="162" t="n">
        <x:v>-3093.548186547344</x:v>
      </x:c>
      <x:c r="F1448" s="162" t="n">
        <x:v>0</x:v>
      </x:c>
      <x:c r="G1448" s="144" t="n">
        <x:v>0.03179121137497637</x:v>
      </x:c>
      <x:c r="H1448" s="144" t="n">
        <x:v>0.5</x:v>
      </x:c>
      <x:c r="I1448" s="137" t="str">
        <x:v>NONPOSITIVE-MODEL-MARGIN</x:v>
      </x:c>
      <x:c r="J1448" s="137" t="str">
        <x:v>V0.7-CONTROLLED-RESEARCH-SCREEN-NOT-DISTRIBUTION</x:v>
      </x:c>
    </x:row>
    <x:row r="1449" ht="22" customHeight="1">
      <x:c r="A1449" s="136" t="str">
        <x:v>SCR-1444</x:v>
      </x:c>
      <x:c r="B1449" s="143" t="n">
        <x:v>0.0000017564102564102563</x:v>
      </x:c>
      <x:c r="C1449" s="143" t="n">
        <x:v>0.005153846153846154</x:v>
      </x:c>
      <x:c r="D1449" s="161" t="n">
        <x:v>1</x:v>
      </x:c>
      <x:c r="E1449" s="163" t="n">
        <x:v>-3102.1567911237157</x:v>
      </x:c>
      <x:c r="F1449" s="163" t="n">
        <x:v>0</x:v>
      </x:c>
      <x:c r="G1449" s="145" t="n">
        <x:v>0.031936731483594896</x:v>
      </x:c>
      <x:c r="H1449" s="145" t="n">
        <x:v>0.5</x:v>
      </x:c>
      <x:c r="I1449" s="136" t="str">
        <x:v>NONPOSITIVE-MODEL-MARGIN</x:v>
      </x:c>
      <x:c r="J1449" s="136" t="str">
        <x:v>V0.7-CONTROLLED-RESEARCH-SCREEN-NOT-DISTRIBUTION</x:v>
      </x:c>
    </x:row>
    <x:row r="1450" ht="22" customHeight="1">
      <x:c r="A1450" s="137" t="str">
        <x:v>SCR-1445</x:v>
      </x:c>
      <x:c r="B1450" s="142" t="n">
        <x:v>0.0000017564102564102563</x:v>
      </x:c>
      <x:c r="C1450" s="142" t="n">
        <x:v>0.005461538461538462</x:v>
      </x:c>
      <x:c r="D1450" s="160" t="n">
        <x:v>1</x:v>
      </x:c>
      <x:c r="E1450" s="162" t="n">
        <x:v>-3119.3405735571832</x:v>
      </x:c>
      <x:c r="F1450" s="162" t="n">
        <x:v>0</x:v>
      </x:c>
      <x:c r="G1450" s="144" t="n">
        <x:v>0.03222777170083194</x:v>
      </x:c>
      <x:c r="H1450" s="144" t="n">
        <x:v>0.5</x:v>
      </x:c>
      <x:c r="I1450" s="137" t="str">
        <x:v>NONPOSITIVE-MODEL-MARGIN</x:v>
      </x:c>
      <x:c r="J1450" s="137" t="str">
        <x:v>V0.7-CONTROLLED-RESEARCH-SCREEN-NOT-DISTRIBUTION</x:v>
      </x:c>
    </x:row>
    <x:row r="1451" ht="22" customHeight="1">
      <x:c r="A1451" s="136" t="str">
        <x:v>SCR-1446</x:v>
      </x:c>
      <x:c r="B1451" s="143" t="n">
        <x:v>0.0000017564102564102563</x:v>
      </x:c>
      <x:c r="C1451" s="143" t="n">
        <x:v>0.0057692307692307696</x:v>
      </x:c>
      <x:c r="D1451" s="161" t="n">
        <x:v>1</x:v>
      </x:c>
      <x:c r="E1451" s="163" t="n">
        <x:v>-3136.480054298103</x:v>
      </x:c>
      <x:c r="F1451" s="163" t="n">
        <x:v>0</x:v>
      </x:c>
      <x:c r="G1451" s="145" t="n">
        <x:v>0.03251881191806899</x:v>
      </x:c>
      <x:c r="H1451" s="145" t="n">
        <x:v>0.5</x:v>
      </x:c>
      <x:c r="I1451" s="136" t="str">
        <x:v>NONPOSITIVE-MODEL-MARGIN</x:v>
      </x:c>
      <x:c r="J1451" s="136" t="str">
        <x:v>V0.7-CONTROLLED-RESEARCH-SCREEN-NOT-DISTRIBUTION</x:v>
      </x:c>
    </x:row>
    <x:row r="1452" ht="22" customHeight="1">
      <x:c r="A1452" s="137" t="str">
        <x:v>SCR-1447</x:v>
      </x:c>
      <x:c r="B1452" s="142" t="n">
        <x:v>0.0000017564102564102563</x:v>
      </x:c>
      <x:c r="C1452" s="142" t="n">
        <x:v>0.006076923076923077</x:v>
      </x:c>
      <x:c r="D1452" s="160" t="n">
        <x:v>1</x:v>
      </x:c>
      <x:c r="E1452" s="162" t="n">
        <x:v>-3153.575550029511</x:v>
      </x:c>
      <x:c r="F1452" s="162" t="n">
        <x:v>0</x:v>
      </x:c>
      <x:c r="G1452" s="144" t="n">
        <x:v>0.032809852135306045</x:v>
      </x:c>
      <x:c r="H1452" s="144" t="n">
        <x:v>0.5</x:v>
      </x:c>
      <x:c r="I1452" s="137" t="str">
        <x:v>NONPOSITIVE-MODEL-MARGIN</x:v>
      </x:c>
      <x:c r="J1452" s="137" t="str">
        <x:v>V0.7-CONTROLLED-RESEARCH-SCREEN-NOT-DISTRIBUTION</x:v>
      </x:c>
    </x:row>
    <x:row r="1453" ht="22" customHeight="1">
      <x:c r="A1453" s="136" t="str">
        <x:v>SCR-1448</x:v>
      </x:c>
      <x:c r="B1453" s="143" t="n">
        <x:v>0.0000017564102564102563</x:v>
      </x:c>
      <x:c r="C1453" s="143" t="n">
        <x:v>0.006384615384615384</x:v>
      </x:c>
      <x:c r="D1453" s="161" t="n">
        <x:v>1</x:v>
      </x:c>
      <x:c r="E1453" s="163" t="n">
        <x:v>-3170.627372904494</x:v>
      </x:c>
      <x:c r="F1453" s="163" t="n">
        <x:v>0</x:v>
      </x:c>
      <x:c r="G1453" s="145" t="n">
        <x:v>0.033100892352543085</x:v>
      </x:c>
      <x:c r="H1453" s="145" t="n">
        <x:v>0.5</x:v>
      </x:c>
      <x:c r="I1453" s="136" t="str">
        <x:v>NONPOSITIVE-MODEL-MARGIN</x:v>
      </x:c>
      <x:c r="J1453" s="136" t="str">
        <x:v>V0.7-CONTROLLED-RESEARCH-SCREEN-NOT-DISTRIBUTION</x:v>
      </x:c>
    </x:row>
    <x:row r="1454" ht="22" customHeight="1">
      <x:c r="A1454" s="137" t="str">
        <x:v>SCR-1449</x:v>
      </x:c>
      <x:c r="B1454" s="142" t="n">
        <x:v>0.0000017564102564102563</x:v>
      </x:c>
      <x:c r="C1454" s="142" t="n">
        <x:v>0.006692307692307693</x:v>
      </x:c>
      <x:c r="D1454" s="160" t="n">
        <x:v>1</x:v>
      </x:c>
      <x:c r="E1454" s="162" t="n">
        <x:v>-3187.635830636917</x:v>
      </x:c>
      <x:c r="F1454" s="162" t="n">
        <x:v>0</x:v>
      </x:c>
      <x:c r="G1454" s="144" t="n">
        <x:v>0.033391932569780146</x:v>
      </x:c>
      <x:c r="H1454" s="144" t="n">
        <x:v>0.5</x:v>
      </x:c>
      <x:c r="I1454" s="137" t="str">
        <x:v>NONPOSITIVE-MODEL-MARGIN</x:v>
      </x:c>
      <x:c r="J1454" s="137" t="str">
        <x:v>V0.7-CONTROLLED-RESEARCH-SCREEN-NOT-DISTRIBUTION</x:v>
      </x:c>
    </x:row>
    <x:row r="1455" ht="22" customHeight="1">
      <x:c r="A1455" s="136" t="str">
        <x:v>SCR-1450</x:v>
      </x:c>
      <x:c r="B1455" s="143" t="n">
        <x:v>0.0000017564102564102563</x:v>
      </x:c>
      <x:c r="C1455" s="143" t="n">
        <x:v>0.007</x:v>
      </x:c>
      <x:c r="D1455" s="161" t="n">
        <x:v>1</x:v>
      </x:c>
      <x:c r="E1455" s="163" t="n">
        <x:v>-3204.6012265899867</x:v>
      </x:c>
      <x:c r="F1455" s="163" t="n">
        <x:v>0</x:v>
      </x:c>
      <x:c r="G1455" s="145" t="n">
        <x:v>0.0336829727870172</x:v>
      </x:c>
      <x:c r="H1455" s="145" t="n">
        <x:v>0.5</x:v>
      </x:c>
      <x:c r="I1455" s="136" t="str">
        <x:v>NONPOSITIVE-MODEL-MARGIN</x:v>
      </x:c>
      <x:c r="J1455" s="136" t="str">
        <x:v>V0.7-CONTROLLED-RESEARCH-SCREEN-NOT-DISTRIBUTION</x:v>
      </x:c>
    </x:row>
    <x:row r="1456" ht="22" customHeight="1">
      <x:c r="A1456" s="137" t="str">
        <x:v>SCR-1451</x:v>
      </x:c>
      <x:c r="B1456" s="142" t="n">
        <x:v>0.0000017564102564102563</x:v>
      </x:c>
      <x:c r="C1456" s="142" t="n">
        <x:v>0.007307692307692308</x:v>
      </x:c>
      <x:c r="D1456" s="160" t="n">
        <x:v>1</x:v>
      </x:c>
      <x:c r="E1456" s="162" t="n">
        <x:v>-3221.523859862653</x:v>
      </x:c>
      <x:c r="F1456" s="162" t="n">
        <x:v>0</x:v>
      </x:c>
      <x:c r="G1456" s="144" t="n">
        <x:v>0.03397401300425424</x:v>
      </x:c>
      <x:c r="H1456" s="144" t="n">
        <x:v>0.5</x:v>
      </x:c>
      <x:c r="I1456" s="137" t="str">
        <x:v>NONPOSITIVE-MODEL-MARGIN</x:v>
      </x:c>
      <x:c r="J1456" s="137" t="str">
        <x:v>V0.7-CONTROLLED-RESEARCH-SCREEN-NOT-DISTRIBUTION</x:v>
      </x:c>
    </x:row>
    <x:row r="1457" ht="22" customHeight="1">
      <x:c r="A1457" s="136" t="str">
        <x:v>SCR-1452</x:v>
      </x:c>
      <x:c r="B1457" s="143" t="n">
        <x:v>0.0000017564102564102563</x:v>
      </x:c>
      <x:c r="C1457" s="143" t="n">
        <x:v>0.007615384615384616</x:v>
      </x:c>
      <x:c r="D1457" s="161" t="n">
        <x:v>1</x:v>
      </x:c>
      <x:c r="E1457" s="163" t="n">
        <x:v>-3238.404025374012</x:v>
      </x:c>
      <x:c r="F1457" s="163" t="n">
        <x:v>0</x:v>
      </x:c>
      <x:c r="G1457" s="145" t="n">
        <x:v>0.03426505322149129</x:v>
      </x:c>
      <x:c r="H1457" s="145" t="n">
        <x:v>0.5</x:v>
      </x:c>
      <x:c r="I1457" s="136" t="str">
        <x:v>NONPOSITIVE-MODEL-MARGIN</x:v>
      </x:c>
      <x:c r="J1457" s="136" t="str">
        <x:v>V0.7-CONTROLLED-RESEARCH-SCREEN-NOT-DISTRIBUTION</x:v>
      </x:c>
    </x:row>
    <x:row r="1458" ht="22" customHeight="1">
      <x:c r="A1458" s="137" t="str">
        <x:v>SCR-1453</x:v>
      </x:c>
      <x:c r="B1458" s="142" t="n">
        <x:v>0.0000017564102564102563</x:v>
      </x:c>
      <x:c r="C1458" s="142" t="n">
        <x:v>0.007923076923076923</x:v>
      </x:c>
      <x:c r="D1458" s="160" t="n">
        <x:v>1</x:v>
      </x:c>
      <x:c r="E1458" s="162" t="n">
        <x:v>-3255.2420139456285</x:v>
      </x:c>
      <x:c r="F1458" s="162" t="n">
        <x:v>0</x:v>
      </x:c>
      <x:c r="G1458" s="144" t="n">
        <x:v>0.03455609343872834</x:v>
      </x:c>
      <x:c r="H1458" s="144" t="n">
        <x:v>0.5</x:v>
      </x:c>
      <x:c r="I1458" s="137" t="str">
        <x:v>NONPOSITIVE-MODEL-MARGIN</x:v>
      </x:c>
      <x:c r="J1458" s="137" t="str">
        <x:v>V0.7-CONTROLLED-RESEARCH-SCREEN-NOT-DISTRIBUTION</x:v>
      </x:c>
    </x:row>
    <x:row r="1459" ht="22" customHeight="1">
      <x:c r="A1459" s="136" t="str">
        <x:v>SCR-1454</x:v>
      </x:c>
      <x:c r="B1459" s="143" t="n">
        <x:v>0.0000017564102564102563</x:v>
      </x:c>
      <x:c r="C1459" s="143" t="n">
        <x:v>0.00823076923076923</x:v>
      </x:c>
      <x:c r="D1459" s="161" t="n">
        <x:v>1</x:v>
      </x:c>
      <x:c r="E1459" s="163" t="n">
        <x:v>-3272.0381123819243</x:v>
      </x:c>
      <x:c r="F1459" s="163" t="n">
        <x:v>0</x:v>
      </x:c>
      <x:c r="G1459" s="145" t="n">
        <x:v>0.03484713365596539</x:v>
      </x:c>
      <x:c r="H1459" s="145" t="n">
        <x:v>0.5</x:v>
      </x:c>
      <x:c r="I1459" s="136" t="str">
        <x:v>NONPOSITIVE-MODEL-MARGIN</x:v>
      </x:c>
      <x:c r="J1459" s="136" t="str">
        <x:v>V0.7-CONTROLLED-RESEARCH-SCREEN-NOT-DISTRIBUTION</x:v>
      </x:c>
    </x:row>
    <x:row r="1460" ht="22" customHeight="1">
      <x:c r="A1460" s="137" t="str">
        <x:v>SCR-1455</x:v>
      </x:c>
      <x:c r="B1460" s="142" t="n">
        <x:v>0.0000017564102564102563</x:v>
      </x:c>
      <x:c r="C1460" s="142" t="n">
        <x:v>0.00853846153846154</x:v>
      </x:c>
      <x:c r="D1460" s="160" t="n">
        <x:v>1</x:v>
      </x:c>
      <x:c r="E1460" s="162" t="n">
        <x:v>-3288.7926035486666</x:v>
      </x:c>
      <x:c r="F1460" s="162" t="n">
        <x:v>0</x:v>
      </x:c>
      <x:c r="G1460" s="144" t="n">
        <x:v>0.03513817387320244</x:v>
      </x:c>
      <x:c r="H1460" s="144" t="n">
        <x:v>0.5</x:v>
      </x:c>
      <x:c r="I1460" s="137" t="str">
        <x:v>NONPOSITIVE-MODEL-MARGIN</x:v>
      </x:c>
      <x:c r="J1460" s="137" t="str">
        <x:v>V0.7-CONTROLLED-RESEARCH-SCREEN-NOT-DISTRIBUTION</x:v>
      </x:c>
    </x:row>
    <x:row r="1461" ht="22" customHeight="1">
      <x:c r="A1461" s="136" t="str">
        <x:v>SCR-1456</x:v>
      </x:c>
      <x:c r="B1461" s="143" t="n">
        <x:v>0.0000017564102564102563</x:v>
      </x:c>
      <x:c r="C1461" s="143" t="n">
        <x:v>0.008846153846153847</x:v>
      </x:c>
      <x:c r="D1461" s="161" t="n">
        <x:v>1</x:v>
      </x:c>
      <x:c r="E1461" s="163" t="n">
        <x:v>-3305.5057664495134</x:v>
      </x:c>
      <x:c r="F1461" s="163" t="n">
        <x:v>0</x:v>
      </x:c>
      <x:c r="G1461" s="145" t="n">
        <x:v>0.0354292140904395</x:v>
      </x:c>
      <x:c r="H1461" s="145" t="n">
        <x:v>0.5</x:v>
      </x:c>
      <x:c r="I1461" s="136" t="str">
        <x:v>NONPOSITIVE-MODEL-MARGIN</x:v>
      </x:c>
      <x:c r="J1461" s="136" t="str">
        <x:v>V0.7-CONTROLLED-RESEARCH-SCREEN-NOT-DISTRIBUTION</x:v>
      </x:c>
    </x:row>
    <x:row r="1462" ht="22" customHeight="1">
      <x:c r="A1462" s="137" t="str">
        <x:v>SCR-1457</x:v>
      </x:c>
      <x:c r="B1462" s="142" t="n">
        <x:v>0.0000017564102564102563</x:v>
      </x:c>
      <x:c r="C1462" s="142" t="n">
        <x:v>0.009153846153846155</x:v>
      </x:c>
      <x:c r="D1462" s="160" t="n">
        <x:v>1</x:v>
      </x:c>
      <x:c r="E1462" s="162" t="n">
        <x:v>-3322.1778763008306</x:v>
      </x:c>
      <x:c r="F1462" s="162" t="n">
        <x:v>0</x:v>
      </x:c>
      <x:c r="G1462" s="144" t="n">
        <x:v>0.03572025430767655</x:v>
      </x:c>
      <x:c r="H1462" s="144" t="n">
        <x:v>0.5</x:v>
      </x:c>
      <x:c r="I1462" s="137" t="str">
        <x:v>NONPOSITIVE-MODEL-MARGIN</x:v>
      </x:c>
      <x:c r="J1462" s="137" t="str">
        <x:v>V0.7-CONTROLLED-RESEARCH-SCREEN-NOT-DISTRIBUTION</x:v>
      </x:c>
    </x:row>
    <x:row r="1463" ht="22" customHeight="1">
      <x:c r="A1463" s="136" t="str">
        <x:v>SCR-1458</x:v>
      </x:c>
      <x:c r="B1463" s="143" t="n">
        <x:v>0.0000017564102564102563</x:v>
      </x:c>
      <x:c r="C1463" s="143" t="n">
        <x:v>0.009461538461538462</x:v>
      </x:c>
      <x:c r="D1463" s="161" t="n">
        <x:v>1</x:v>
      </x:c>
      <x:c r="E1463" s="163" t="n">
        <x:v>-3338.8092046046418</x:v>
      </x:c>
      <x:c r="F1463" s="163" t="n">
        <x:v>0</x:v>
      </x:c>
      <x:c r="G1463" s="145" t="n">
        <x:v>0.03601129452491359</x:v>
      </x:c>
      <x:c r="H1463" s="145" t="n">
        <x:v>0.5</x:v>
      </x:c>
      <x:c r="I1463" s="136" t="str">
        <x:v>NONPOSITIVE-MODEL-MARGIN</x:v>
      </x:c>
      <x:c r="J1463" s="136" t="str">
        <x:v>V0.7-CONTROLLED-RESEARCH-SCREEN-NOT-DISTRIBUTION</x:v>
      </x:c>
    </x:row>
    <x:row r="1464" ht="22" customHeight="1">
      <x:c r="A1464" s="137" t="str">
        <x:v>SCR-1459</x:v>
      </x:c>
      <x:c r="B1464" s="142" t="n">
        <x:v>0.0000017564102564102563</x:v>
      </x:c>
      <x:c r="C1464" s="142" t="n">
        <x:v>0.00976923076923077</x:v>
      </x:c>
      <x:c r="D1464" s="160" t="n">
        <x:v>1</x:v>
      </x:c>
      <x:c r="E1464" s="162" t="n">
        <x:v>-3355.400019219929</x:v>
      </x:c>
      <x:c r="F1464" s="162" t="n">
        <x:v>0</x:v>
      </x:c>
      <x:c r="G1464" s="144" t="n">
        <x:v>0.03630233474215064</x:v>
      </x:c>
      <x:c r="H1464" s="144" t="n">
        <x:v>0.5</x:v>
      </x:c>
      <x:c r="I1464" s="137" t="str">
        <x:v>NONPOSITIVE-MODEL-MARGIN</x:v>
      </x:c>
      <x:c r="J1464" s="137" t="str">
        <x:v>V0.7-CONTROLLED-RESEARCH-SCREEN-NOT-DISTRIBUTION</x:v>
      </x:c>
    </x:row>
    <x:row r="1465" ht="22" customHeight="1">
      <x:c r="A1465" s="136" t="str">
        <x:v>SCR-1460</x:v>
      </x:c>
      <x:c r="B1465" s="143" t="n">
        <x:v>0.0000017564102564102563</x:v>
      </x:c>
      <x:c r="C1465" s="143" t="n">
        <x:v>0.010076923076923077</x:v>
      </x:c>
      <x:c r="D1465" s="161" t="n">
        <x:v>1</x:v>
      </x:c>
      <x:c r="E1465" s="163" t="n">
        <x:v>-3371.9505844321675</x:v>
      </x:c>
      <x:c r="F1465" s="163" t="n">
        <x:v>0</x:v>
      </x:c>
      <x:c r="G1465" s="145" t="n">
        <x:v>0.03659337495938769</x:v>
      </x:c>
      <x:c r="H1465" s="145" t="n">
        <x:v>0.5</x:v>
      </x:c>
      <x:c r="I1465" s="136" t="str">
        <x:v>NONPOSITIVE-MODEL-MARGIN</x:v>
      </x:c>
      <x:c r="J1465" s="136" t="str">
        <x:v>V0.7-CONTROLLED-RESEARCH-SCREEN-NOT-DISTRIBUTION</x:v>
      </x:c>
    </x:row>
    <x:row r="1466" ht="22" customHeight="1">
      <x:c r="A1466" s="137" t="str">
        <x:v>SCR-1461</x:v>
      </x:c>
      <x:c r="B1466" s="142" t="n">
        <x:v>0.0000017564102564102563</x:v>
      </x:c>
      <x:c r="C1466" s="142" t="n">
        <x:v>0.010384615384615384</x:v>
      </x:c>
      <x:c r="D1466" s="160" t="n">
        <x:v>1</x:v>
      </x:c>
      <x:c r="E1466" s="162" t="n">
        <x:v>-3385.1987766997895</x:v>
      </x:c>
      <x:c r="F1466" s="162" t="n">
        <x:v>0</x:v>
      </x:c>
      <x:c r="G1466" s="144" t="n">
        <x:v>0.03688441517662474</x:v>
      </x:c>
      <x:c r="H1466" s="144" t="n">
        <x:v>0.5</x:v>
      </x:c>
      <x:c r="I1466" s="137" t="str">
        <x:v>NONPOSITIVE-MODEL-MARGIN</x:v>
      </x:c>
      <x:c r="J1466" s="137" t="str">
        <x:v>V0.7-CONTROLLED-RESEARCH-SCREEN-NOT-DISTRIBUTION</x:v>
      </x:c>
    </x:row>
    <x:row r="1467" ht="22" customHeight="1">
      <x:c r="A1467" s="136" t="str">
        <x:v>SCR-1462</x:v>
      </x:c>
      <x:c r="B1467" s="143" t="n">
        <x:v>0.0000017564102564102563</x:v>
      </x:c>
      <x:c r="C1467" s="143" t="n">
        <x:v>0.010692307692307692</x:v>
      </x:c>
      <x:c r="D1467" s="161" t="n">
        <x:v>1</x:v>
      </x:c>
      <x:c r="E1467" s="163" t="n">
        <x:v>-3401.6777838716625</x:v>
      </x:c>
      <x:c r="F1467" s="163" t="n">
        <x:v>0</x:v>
      </x:c>
      <x:c r="G1467" s="145" t="n">
        <x:v>0.03717545539386179</x:v>
      </x:c>
      <x:c r="H1467" s="145" t="n">
        <x:v>0.5</x:v>
      </x:c>
      <x:c r="I1467" s="136" t="str">
        <x:v>NONPOSITIVE-MODEL-MARGIN</x:v>
      </x:c>
      <x:c r="J1467" s="136" t="str">
        <x:v>V0.7-CONTROLLED-RESEARCH-SCREEN-NOT-DISTRIBUTION</x:v>
      </x:c>
    </x:row>
    <x:row r="1468" ht="22" customHeight="1">
      <x:c r="A1468" s="137" t="str">
        <x:v>SCR-1463</x:v>
      </x:c>
      <x:c r="B1468" s="142" t="n">
        <x:v>0.0000017564102564102563</x:v>
      </x:c>
      <x:c r="C1468" s="142" t="n">
        <x:v>0.011</x:v>
      </x:c>
      <x:c r="D1468" s="160" t="n">
        <x:v>1</x:v>
      </x:c>
      <x:c r="E1468" s="162" t="n">
        <x:v>-3418.117252526257</x:v>
      </x:c>
      <x:c r="F1468" s="162" t="n">
        <x:v>0</x:v>
      </x:c>
      <x:c r="G1468" s="144" t="n">
        <x:v>0.037466495611098834</x:v>
      </x:c>
      <x:c r="H1468" s="144" t="n">
        <x:v>0.5</x:v>
      </x:c>
      <x:c r="I1468" s="137" t="str">
        <x:v>NONPOSITIVE-MODEL-MARGIN</x:v>
      </x:c>
      <x:c r="J1468" s="137" t="str">
        <x:v>V0.7-CONTROLLED-RESEARCH-SCREEN-NOT-DISTRIBUTION</x:v>
      </x:c>
    </x:row>
    <x:row r="1469" ht="22" customHeight="1">
      <x:c r="A1469" s="136" t="str">
        <x:v>SCR-1464</x:v>
      </x:c>
      <x:c r="B1469" s="143" t="n">
        <x:v>0.0000017564102564102563</x:v>
      </x:c>
      <x:c r="C1469" s="143" t="n">
        <x:v>0.011307692307692307</x:v>
      </x:c>
      <x:c r="D1469" s="161" t="n">
        <x:v>1</x:v>
      </x:c>
      <x:c r="E1469" s="163" t="n">
        <x:v>-3434.5174342671808</x:v>
      </x:c>
      <x:c r="F1469" s="163" t="n">
        <x:v>0</x:v>
      </x:c>
      <x:c r="G1469" s="145" t="n">
        <x:v>0.03775753582833588</x:v>
      </x:c>
      <x:c r="H1469" s="145" t="n">
        <x:v>0.5</x:v>
      </x:c>
      <x:c r="I1469" s="136" t="str">
        <x:v>NONPOSITIVE-MODEL-MARGIN</x:v>
      </x:c>
      <x:c r="J1469" s="136" t="str">
        <x:v>V0.7-CONTROLLED-RESEARCH-SCREEN-NOT-DISTRIBUTION</x:v>
      </x:c>
    </x:row>
    <x:row r="1470" ht="22" customHeight="1">
      <x:c r="A1470" s="137" t="str">
        <x:v>SCR-1465</x:v>
      </x:c>
      <x:c r="B1470" s="142" t="n">
        <x:v>0.0000017564102564102563</x:v>
      </x:c>
      <x:c r="C1470" s="142" t="n">
        <x:v>0.011615384615384614</x:v>
      </x:c>
      <x:c r="D1470" s="160" t="n">
        <x:v>1</x:v>
      </x:c>
      <x:c r="E1470" s="162" t="n">
        <x:v>-3450.878577426744</x:v>
      </x:c>
      <x:c r="F1470" s="162" t="n">
        <x:v>0</x:v>
      </x:c>
      <x:c r="G1470" s="144" t="n">
        <x:v>0.038048576045572935</x:v>
      </x:c>
      <x:c r="H1470" s="144" t="n">
        <x:v>0.5</x:v>
      </x:c>
      <x:c r="I1470" s="137" t="str">
        <x:v>NONPOSITIVE-MODEL-MARGIN</x:v>
      </x:c>
      <x:c r="J1470" s="137" t="str">
        <x:v>V0.7-CONTROLLED-RESEARCH-SCREEN-NOT-DISTRIBUTION</x:v>
      </x:c>
    </x:row>
    <x:row r="1471" ht="22" customHeight="1">
      <x:c r="A1471" s="136" t="str">
        <x:v>SCR-1466</x:v>
      </x:c>
      <x:c r="B1471" s="143" t="n">
        <x:v>0.0000017564102564102563</x:v>
      </x:c>
      <x:c r="C1471" s="143" t="n">
        <x:v>0.011923076923076925</x:v>
      </x:c>
      <x:c r="D1471" s="161" t="n">
        <x:v>1</x:v>
      </x:c>
      <x:c r="E1471" s="163" t="n">
        <x:v>-3467.200927126938</x:v>
      </x:c>
      <x:c r="F1471" s="163" t="n">
        <x:v>0</x:v>
      </x:c>
      <x:c r="G1471" s="145" t="n">
        <x:v>0.038339616262809996</x:v>
      </x:c>
      <x:c r="H1471" s="145" t="n">
        <x:v>0.5</x:v>
      </x:c>
      <x:c r="I1471" s="136" t="str">
        <x:v>NONPOSITIVE-MODEL-MARGIN</x:v>
      </x:c>
      <x:c r="J1471" s="136" t="str">
        <x:v>V0.7-CONTROLLED-RESEARCH-SCREEN-NOT-DISTRIBUTION</x:v>
      </x:c>
    </x:row>
    <x:row r="1472" ht="22" customHeight="1">
      <x:c r="A1472" s="137" t="str">
        <x:v>SCR-1467</x:v>
      </x:c>
      <x:c r="B1472" s="142" t="n">
        <x:v>0.0000017564102564102563</x:v>
      </x:c>
      <x:c r="C1472" s="142" t="n">
        <x:v>0.012230769230769233</x:v>
      </x:c>
      <x:c r="D1472" s="160" t="n">
        <x:v>1</x:v>
      </x:c>
      <x:c r="E1472" s="162" t="n">
        <x:v>-3483.4847253390153</x:v>
      </x:c>
      <x:c r="F1472" s="162" t="n">
        <x:v>0</x:v>
      </x:c>
      <x:c r="G1472" s="144" t="n">
        <x:v>0.038630656480047036</x:v>
      </x:c>
      <x:c r="H1472" s="144" t="n">
        <x:v>0.5</x:v>
      </x:c>
      <x:c r="I1472" s="137" t="str">
        <x:v>NONPOSITIVE-MODEL-MARGIN</x:v>
      </x:c>
      <x:c r="J1472" s="137" t="str">
        <x:v>V0.7-CONTROLLED-RESEARCH-SCREEN-NOT-DISTRIBUTION</x:v>
      </x:c>
    </x:row>
    <x:row r="1473" ht="22" customHeight="1">
      <x:c r="A1473" s="136" t="str">
        <x:v>SCR-1468</x:v>
      </x:c>
      <x:c r="B1473" s="143" t="n">
        <x:v>0.0000017564102564102563</x:v>
      </x:c>
      <x:c r="C1473" s="143" t="n">
        <x:v>0.01253846153846154</x:v>
      </x:c>
      <x:c r="D1473" s="161" t="n">
        <x:v>1</x:v>
      </x:c>
      <x:c r="E1473" s="163" t="n">
        <x:v>-3499.730210941662</x:v>
      </x:c>
      <x:c r="F1473" s="163" t="n">
        <x:v>0</x:v>
      </x:c>
      <x:c r="G1473" s="145" t="n">
        <x:v>0.03892169669728408</x:v>
      </x:c>
      <x:c r="H1473" s="145" t="n">
        <x:v>0.5</x:v>
      </x:c>
      <x:c r="I1473" s="136" t="str">
        <x:v>NONPOSITIVE-MODEL-MARGIN</x:v>
      </x:c>
      <x:c r="J1473" s="136" t="str">
        <x:v>V0.7-CONTROLLED-RESEARCH-SCREEN-NOT-DISTRIBUTION</x:v>
      </x:c>
    </x:row>
    <x:row r="1474" ht="22" customHeight="1">
      <x:c r="A1474" s="137" t="str">
        <x:v>SCR-1469</x:v>
      </x:c>
      <x:c r="B1474" s="142" t="n">
        <x:v>0.0000017564102564102563</x:v>
      </x:c>
      <x:c r="C1474" s="142" t="n">
        <x:v>0.012846153846153847</x:v>
      </x:c>
      <x:c r="D1474" s="160" t="n">
        <x:v>1</x:v>
      </x:c>
      <x:c r="E1474" s="162" t="n">
        <x:v>-3515.9376197778006</x:v>
      </x:c>
      <x:c r="F1474" s="162" t="n">
        <x:v>0</x:v>
      </x:c>
      <x:c r="G1474" s="144" t="n">
        <x:v>0.03921273691452114</x:v>
      </x:c>
      <x:c r="H1474" s="144" t="n">
        <x:v>0.5</x:v>
      </x:c>
      <x:c r="I1474" s="137" t="str">
        <x:v>NONPOSITIVE-MODEL-MARGIN</x:v>
      </x:c>
      <x:c r="J1474" s="137" t="str">
        <x:v>V0.7-CONTROLLED-RESEARCH-SCREEN-NOT-DISTRIBUTION</x:v>
      </x:c>
    </x:row>
    <x:row r="1475" ht="22" customHeight="1">
      <x:c r="A1475" s="136" t="str">
        <x:v>SCR-1470</x:v>
      </x:c>
      <x:c r="B1475" s="143" t="n">
        <x:v>0.0000017564102564102563</x:v>
      </x:c>
      <x:c r="C1475" s="143" t="n">
        <x:v>0.013153846153846155</x:v>
      </x:c>
      <x:c r="D1475" s="161" t="n">
        <x:v>1</x:v>
      </x:c>
      <x:c r="E1475" s="163" t="n">
        <x:v>-3532.1071847101057</x:v>
      </x:c>
      <x:c r="F1475" s="163" t="n">
        <x:v>0</x:v>
      </x:c>
      <x:c r="G1475" s="145" t="n">
        <x:v>0.03950377713175818</x:v>
      </x:c>
      <x:c r="H1475" s="145" t="n">
        <x:v>0.5</x:v>
      </x:c>
      <x:c r="I1475" s="136" t="str">
        <x:v>NONPOSITIVE-MODEL-MARGIN</x:v>
      </x:c>
      <x:c r="J1475" s="136" t="str">
        <x:v>V0.7-CONTROLLED-RESEARCH-SCREEN-NOT-DISTRIBUTION</x:v>
      </x:c>
    </x:row>
    <x:row r="1476" ht="22" customHeight="1">
      <x:c r="A1476" s="137" t="str">
        <x:v>SCR-1471</x:v>
      </x:c>
      <x:c r="B1476" s="142" t="n">
        <x:v>0.0000017564102564102563</x:v>
      </x:c>
      <x:c r="C1476" s="142" t="n">
        <x:v>0.013461538461538462</x:v>
      </x:c>
      <x:c r="D1476" s="160" t="n">
        <x:v>1</x:v>
      </x:c>
      <x:c r="E1476" s="162" t="n">
        <x:v>-3548.239135675245</x:v>
      </x:c>
      <x:c r="F1476" s="162" t="n">
        <x:v>0</x:v>
      </x:c>
      <x:c r="G1476" s="144" t="n">
        <x:v>0.03979481734899524</x:v>
      </x:c>
      <x:c r="H1476" s="144" t="n">
        <x:v>0.5</x:v>
      </x:c>
      <x:c r="I1476" s="137" t="str">
        <x:v>NONPOSITIVE-MODEL-MARGIN</x:v>
      </x:c>
      <x:c r="J1476" s="137" t="str">
        <x:v>V0.7-CONTROLLED-RESEARCH-SCREEN-NOT-DISTRIBUTION</x:v>
      </x:c>
    </x:row>
    <x:row r="1477" ht="22" customHeight="1">
      <x:c r="A1477" s="136" t="str">
        <x:v>SCR-1472</x:v>
      </x:c>
      <x:c r="B1477" s="143" t="n">
        <x:v>0.0000017564102564102563</x:v>
      </x:c>
      <x:c r="C1477" s="143" t="n">
        <x:v>0.01376923076923077</x:v>
      </x:c>
      <x:c r="D1477" s="161" t="n">
        <x:v>1</x:v>
      </x:c>
      <x:c r="E1477" s="163" t="n">
        <x:v>-3564.333699736829</x:v>
      </x:c>
      <x:c r="F1477" s="163" t="n">
        <x:v>0</x:v>
      </x:c>
      <x:c r="G1477" s="145" t="n">
        <x:v>0.04008585756623229</x:v>
      </x:c>
      <x:c r="H1477" s="145" t="n">
        <x:v>0.5</x:v>
      </x:c>
      <x:c r="I1477" s="136" t="str">
        <x:v>NONPOSITIVE-MODEL-MARGIN</x:v>
      </x:c>
      <x:c r="J1477" s="136" t="str">
        <x:v>V0.7-CONTROLLED-RESEARCH-SCREEN-NOT-DISTRIBUTION</x:v>
      </x:c>
    </x:row>
    <x:row r="1478" ht="22" customHeight="1">
      <x:c r="A1478" s="137" t="str">
        <x:v>SCR-1473</x:v>
      </x:c>
      <x:c r="B1478" s="142" t="n">
        <x:v>0.0000017564102564102563</x:v>
      </x:c>
      <x:c r="C1478" s="142" t="n">
        <x:v>0.014076923076923077</x:v>
      </x:c>
      <x:c r="D1478" s="160" t="n">
        <x:v>1</x:v>
      </x:c>
      <x:c r="E1478" s="162" t="n">
        <x:v>-3580.39110113717</x:v>
      </x:c>
      <x:c r="F1478" s="162" t="n">
        <x:v>0</x:v>
      </x:c>
      <x:c r="G1478" s="144" t="n">
        <x:v>0.04037689778346934</x:v>
      </x:c>
      <x:c r="H1478" s="144" t="n">
        <x:v>0.5</x:v>
      </x:c>
      <x:c r="I1478" s="137" t="str">
        <x:v>NONPOSITIVE-MODEL-MARGIN</x:v>
      </x:c>
      <x:c r="J1478" s="137" t="str">
        <x:v>V0.7-CONTROLLED-RESEARCH-SCREEN-NOT-DISTRIBUTION</x:v>
      </x:c>
    </x:row>
    <x:row r="1479" ht="22" customHeight="1">
      <x:c r="A1479" s="136" t="str">
        <x:v>SCR-1474</x:v>
      </x:c>
      <x:c r="B1479" s="143" t="n">
        <x:v>0.0000017564102564102563</x:v>
      </x:c>
      <x:c r="C1479" s="143" t="n">
        <x:v>0.014384615384615385</x:v>
      </x:c>
      <x:c r="D1479" s="161" t="n">
        <x:v>1</x:v>
      </x:c>
      <x:c r="E1479" s="163" t="n">
        <x:v>-3596.4115613478657</x:v>
      </x:c>
      <x:c r="F1479" s="163" t="n">
        <x:v>0</x:v>
      </x:c>
      <x:c r="G1479" s="145" t="n">
        <x:v>0.04066793800070639</x:v>
      </x:c>
      <x:c r="H1479" s="145" t="n">
        <x:v>0.5</x:v>
      </x:c>
      <x:c r="I1479" s="136" t="str">
        <x:v>NONPOSITIVE-MODEL-MARGIN</x:v>
      </x:c>
      <x:c r="J1479" s="136" t="str">
        <x:v>V0.7-CONTROLLED-RESEARCH-SCREEN-NOT-DISTRIBUTION</x:v>
      </x:c>
    </x:row>
    <x:row r="1480" ht="22" customHeight="1">
      <x:c r="A1480" s="137" t="str">
        <x:v>SCR-1475</x:v>
      </x:c>
      <x:c r="B1480" s="142" t="n">
        <x:v>0.0000017564102564102563</x:v>
      </x:c>
      <x:c r="C1480" s="142" t="n">
        <x:v>0.014692307692307692</x:v>
      </x:c>
      <x:c r="D1480" s="160" t="n">
        <x:v>1</x:v>
      </x:c>
      <x:c r="E1480" s="162" t="n">
        <x:v>-3612.3952991192336</x:v>
      </x:c>
      <x:c r="F1480" s="162" t="n">
        <x:v>0</x:v>
      </x:c>
      <x:c r="G1480" s="144" t="n">
        <x:v>0.040958978217943434</x:v>
      </x:c>
      <x:c r="H1480" s="144" t="n">
        <x:v>0.5</x:v>
      </x:c>
      <x:c r="I1480" s="137" t="str">
        <x:v>NONPOSITIVE-MODEL-MARGIN</x:v>
      </x:c>
      <x:c r="J1480" s="137" t="str">
        <x:v>V0.7-CONTROLLED-RESEARCH-SCREEN-NOT-DISTRIBUTION</x:v>
      </x:c>
    </x:row>
    <x:row r="1481" ht="22" customHeight="1">
      <x:c r="A1481" s="136" t="str">
        <x:v>SCR-1476</x:v>
      </x:c>
      <x:c r="B1481" s="143" t="n">
        <x:v>0.0000017564102564102563</x:v>
      </x:c>
      <x:c r="C1481" s="143" t="n">
        <x:v>0.015</x:v>
      </x:c>
      <x:c r="D1481" s="161" t="n">
        <x:v>1</x:v>
      </x:c>
      <x:c r="E1481" s="163" t="n">
        <x:v>-3625.19655175484</x:v>
      </x:c>
      <x:c r="F1481" s="163" t="n">
        <x:v>0</x:v>
      </x:c>
      <x:c r="G1481" s="145" t="n">
        <x:v>0.04125001843518048</x:v>
      </x:c>
      <x:c r="H1481" s="145" t="n">
        <x:v>0.5</x:v>
      </x:c>
      <x:c r="I1481" s="136" t="str">
        <x:v>NONPOSITIVE-MODEL-MARGIN</x:v>
      </x:c>
      <x:c r="J1481" s="136" t="str">
        <x:v>V0.7-CONTROLLED-RESEARCH-SCREEN-NOT-DISTRIBUTION</x:v>
      </x:c>
    </x:row>
    <x:row r="1482" ht="22" customHeight="1">
      <x:c r="A1482" s="137" t="str">
        <x:v>SCR-1477</x:v>
      </x:c>
      <x:c r="B1482" s="142" t="n">
        <x:v>0.0000018051282051282052</x:v>
      </x:c>
      <x:c r="C1482" s="142" t="n">
        <x:v>0.003</x:v>
      </x:c>
      <x:c r="D1482" s="160" t="n">
        <x:v>1</x:v>
      </x:c>
      <x:c r="E1482" s="162" t="n">
        <x:v>-3025.2124604373967</x:v>
      </x:c>
      <x:c r="F1482" s="162" t="n">
        <x:v>0</x:v>
      </x:c>
      <x:c r="G1482" s="144" t="n">
        <x:v>0.030591818925410973</x:v>
      </x:c>
      <x:c r="H1482" s="144" t="n">
        <x:v>0.5</x:v>
      </x:c>
      <x:c r="I1482" s="137" t="str">
        <x:v>NONPOSITIVE-MODEL-MARGIN</x:v>
      </x:c>
      <x:c r="J1482" s="137" t="str">
        <x:v>V0.7-CONTROLLED-RESEARCH-SCREEN-NOT-DISTRIBUTION</x:v>
      </x:c>
    </x:row>
    <x:row r="1483" ht="22" customHeight="1">
      <x:c r="A1483" s="136" t="str">
        <x:v>SCR-1478</x:v>
      </x:c>
      <x:c r="B1483" s="143" t="n">
        <x:v>0.0000018051282051282052</x:v>
      </x:c>
      <x:c r="C1483" s="143" t="n">
        <x:v>0.003307692307692308</x:v>
      </x:c>
      <x:c r="D1483" s="161" t="n">
        <x:v>1</x:v>
      </x:c>
      <x:c r="E1483" s="163" t="n">
        <x:v>-3042.6083174496443</x:v>
      </x:c>
      <x:c r="F1483" s="163" t="n">
        <x:v>0</x:v>
      </x:c>
      <x:c r="G1483" s="145" t="n">
        <x:v>0.030882430524542002</x:v>
      </x:c>
      <x:c r="H1483" s="145" t="n">
        <x:v>0.5</x:v>
      </x:c>
      <x:c r="I1483" s="136" t="str">
        <x:v>NONPOSITIVE-MODEL-MARGIN</x:v>
      </x:c>
      <x:c r="J1483" s="136" t="str">
        <x:v>V0.7-CONTROLLED-RESEARCH-SCREEN-NOT-DISTRIBUTION</x:v>
      </x:c>
    </x:row>
    <x:row r="1484" ht="22" customHeight="1">
      <x:c r="A1484" s="137" t="str">
        <x:v>SCR-1479</x:v>
      </x:c>
      <x:c r="B1484" s="142" t="n">
        <x:v>0.0000018051282051282052</x:v>
      </x:c>
      <x:c r="C1484" s="142" t="n">
        <x:v>0.0036153846153846154</x:v>
      </x:c>
      <x:c r="D1484" s="160" t="n">
        <x:v>1</x:v>
      </x:c>
      <x:c r="E1484" s="162" t="n">
        <x:v>-3059.958386928682</x:v>
      </x:c>
      <x:c r="F1484" s="162" t="n">
        <x:v>0</x:v>
      </x:c>
      <x:c r="G1484" s="144" t="n">
        <x:v>0.031173042123673035</x:v>
      </x:c>
      <x:c r="H1484" s="144" t="n">
        <x:v>0.5</x:v>
      </x:c>
      <x:c r="I1484" s="137" t="str">
        <x:v>NONPOSITIVE-MODEL-MARGIN</x:v>
      </x:c>
      <x:c r="J1484" s="137" t="str">
        <x:v>V0.7-CONTROLLED-RESEARCH-SCREEN-NOT-DISTRIBUTION</x:v>
      </x:c>
    </x:row>
    <x:row r="1485" ht="22" customHeight="1">
      <x:c r="A1485" s="136" t="str">
        <x:v>SCR-1480</x:v>
      </x:c>
      <x:c r="B1485" s="143" t="n">
        <x:v>0.0000018051282051282052</x:v>
      </x:c>
      <x:c r="C1485" s="143" t="n">
        <x:v>0.003923076923076923</x:v>
      </x:c>
      <x:c r="D1485" s="161" t="n">
        <x:v>1</x:v>
      </x:c>
      <x:c r="E1485" s="163" t="n">
        <x:v>-3077.2630072652446</x:v>
      </x:c>
      <x:c r="F1485" s="163" t="n">
        <x:v>0</x:v>
      </x:c>
      <x:c r="G1485" s="145" t="n">
        <x:v>0.03146365372280407</x:v>
      </x:c>
      <x:c r="H1485" s="145" t="n">
        <x:v>0.5</x:v>
      </x:c>
      <x:c r="I1485" s="136" t="str">
        <x:v>NONPOSITIVE-MODEL-MARGIN</x:v>
      </x:c>
      <x:c r="J1485" s="136" t="str">
        <x:v>V0.7-CONTROLLED-RESEARCH-SCREEN-NOT-DISTRIBUTION</x:v>
      </x:c>
    </x:row>
    <x:row r="1486" ht="22" customHeight="1">
      <x:c r="A1486" s="137" t="str">
        <x:v>SCR-1481</x:v>
      </x:c>
      <x:c r="B1486" s="142" t="n">
        <x:v>0.0000018051282051282052</x:v>
      </x:c>
      <x:c r="C1486" s="142" t="n">
        <x:v>0.004230769230769231</x:v>
      </x:c>
      <x:c r="D1486" s="160" t="n">
        <x:v>1</x:v>
      </x:c>
      <x:c r="E1486" s="162" t="n">
        <x:v>-3094.5225118786148</x:v>
      </x:c>
      <x:c r="F1486" s="162" t="n">
        <x:v>0</x:v>
      </x:c>
      <x:c r="G1486" s="144" t="n">
        <x:v>0.03175426532193509</x:v>
      </x:c>
      <x:c r="H1486" s="144" t="n">
        <x:v>0.5</x:v>
      </x:c>
      <x:c r="I1486" s="137" t="str">
        <x:v>NONPOSITIVE-MODEL-MARGIN</x:v>
      </x:c>
      <x:c r="J1486" s="137" t="str">
        <x:v>V0.7-CONTROLLED-RESEARCH-SCREEN-NOT-DISTRIBUTION</x:v>
      </x:c>
    </x:row>
    <x:row r="1487" ht="22" customHeight="1">
      <x:c r="A1487" s="136" t="str">
        <x:v>SCR-1482</x:v>
      </x:c>
      <x:c r="B1487" s="143" t="n">
        <x:v>0.0000018051282051282052</x:v>
      </x:c>
      <x:c r="C1487" s="143" t="n">
        <x:v>0.004538461538461538</x:v>
      </x:c>
      <x:c r="D1487" s="161" t="n">
        <x:v>1</x:v>
      </x:c>
      <x:c r="E1487" s="163" t="n">
        <x:v>-3111.737229318007</x:v>
      </x:c>
      <x:c r="F1487" s="163" t="n">
        <x:v>0</x:v>
      </x:c>
      <x:c r="G1487" s="145" t="n">
        <x:v>0.032044876921066126</x:v>
      </x:c>
      <x:c r="H1487" s="145" t="n">
        <x:v>0.5</x:v>
      </x:c>
      <x:c r="I1487" s="136" t="str">
        <x:v>NONPOSITIVE-MODEL-MARGIN</x:v>
      </x:c>
      <x:c r="J1487" s="136" t="str">
        <x:v>V0.7-CONTROLLED-RESEARCH-SCREEN-NOT-DISTRIBUTION</x:v>
      </x:c>
    </x:row>
    <x:row r="1488" ht="22" customHeight="1">
      <x:c r="A1488" s="137" t="str">
        <x:v>SCR-1483</x:v>
      </x:c>
      <x:c r="B1488" s="142" t="n">
        <x:v>0.0000018051282051282052</x:v>
      </x:c>
      <x:c r="C1488" s="142" t="n">
        <x:v>0.004846153846153846</x:v>
      </x:c>
      <x:c r="D1488" s="160" t="n">
        <x:v>1</x:v>
      </x:c>
      <x:c r="E1488" s="162" t="n">
        <x:v>-3128.9074833614914</x:v>
      </x:c>
      <x:c r="F1488" s="162" t="n">
        <x:v>0</x:v>
      </x:c>
      <x:c r="G1488" s="144" t="n">
        <x:v>0.03233548852019716</x:v>
      </x:c>
      <x:c r="H1488" s="144" t="n">
        <x:v>0.5</x:v>
      </x:c>
      <x:c r="I1488" s="137" t="str">
        <x:v>NONPOSITIVE-MODEL-MARGIN</x:v>
      </x:c>
      <x:c r="J1488" s="137" t="str">
        <x:v>V0.7-CONTROLLED-RESEARCH-SCREEN-NOT-DISTRIBUTION</x:v>
      </x:c>
    </x:row>
    <x:row r="1489" ht="22" customHeight="1">
      <x:c r="A1489" s="136" t="str">
        <x:v>SCR-1484</x:v>
      </x:c>
      <x:c r="B1489" s="143" t="n">
        <x:v>0.0000018051282051282052</x:v>
      </x:c>
      <x:c r="C1489" s="143" t="n">
        <x:v>0.005</x:v>
      </x:c>
      <x:c r="D1489" s="161" t="n">
        <x:v>1</x:v>
      </x:c>
      <x:c r="E1489" s="163" t="n">
        <x:v>-3137.4760365096104</x:v>
      </x:c>
      <x:c r="F1489" s="163" t="n">
        <x:v>0</x:v>
      </x:c>
      <x:c r="G1489" s="145" t="n">
        <x:v>0.032480794319762675</x:v>
      </x:c>
      <x:c r="H1489" s="145" t="n">
        <x:v>0.5</x:v>
      </x:c>
      <x:c r="I1489" s="136" t="str">
        <x:v>NONPOSITIVE-MODEL-MARGIN</x:v>
      </x:c>
      <x:c r="J1489" s="136" t="str">
        <x:v>V0.7-CONTROLLED-RESEARCH-SCREEN-NOT-DISTRIBUTION</x:v>
      </x:c>
    </x:row>
    <x:row r="1490" ht="22" customHeight="1">
      <x:c r="A1490" s="137" t="str">
        <x:v>SCR-1485</x:v>
      </x:c>
      <x:c r="B1490" s="142" t="n">
        <x:v>0.0000018051282051282052</x:v>
      </x:c>
      <x:c r="C1490" s="142" t="n">
        <x:v>0.005153846153846154</x:v>
      </x:c>
      <x:c r="D1490" s="160" t="n">
        <x:v>1</x:v>
      </x:c>
      <x:c r="E1490" s="162" t="n">
        <x:v>-3146.0335931125474</x:v>
      </x:c>
      <x:c r="F1490" s="162" t="n">
        <x:v>0</x:v>
      </x:c>
      <x:c r="G1490" s="144" t="n">
        <x:v>0.03262610011932818</x:v>
      </x:c>
      <x:c r="H1490" s="144" t="n">
        <x:v>0.5</x:v>
      </x:c>
      <x:c r="I1490" s="137" t="str">
        <x:v>NONPOSITIVE-MODEL-MARGIN</x:v>
      </x:c>
      <x:c r="J1490" s="137" t="str">
        <x:v>V0.7-CONTROLLED-RESEARCH-SCREEN-NOT-DISTRIBUTION</x:v>
      </x:c>
    </x:row>
    <x:row r="1491" ht="22" customHeight="1">
      <x:c r="A1491" s="136" t="str">
        <x:v>SCR-1486</x:v>
      </x:c>
      <x:c r="B1491" s="143" t="n">
        <x:v>0.0000018051282051282052</x:v>
      </x:c>
      <x:c r="C1491" s="143" t="n">
        <x:v>0.005461538461538462</x:v>
      </x:c>
      <x:c r="D1491" s="161" t="n">
        <x:v>1</x:v>
      </x:c>
      <x:c r="E1491" s="163" t="n">
        <x:v>-3163.1158730943416</x:v>
      </x:c>
      <x:c r="F1491" s="163" t="n">
        <x:v>0</x:v>
      </x:c>
      <x:c r="G1491" s="145" t="n">
        <x:v>0.032916711718459224</x:v>
      </x:c>
      <x:c r="H1491" s="145" t="n">
        <x:v>0.5</x:v>
      </x:c>
      <x:c r="I1491" s="136" t="str">
        <x:v>NONPOSITIVE-MODEL-MARGIN</x:v>
      </x:c>
      <x:c r="J1491" s="136" t="str">
        <x:v>V0.7-CONTROLLED-RESEARCH-SCREEN-NOT-DISTRIBUTION</x:v>
      </x:c>
    </x:row>
    <x:row r="1492" ht="22" customHeight="1">
      <x:c r="A1492" s="137" t="str">
        <x:v>SCR-1487</x:v>
      </x:c>
      <x:c r="B1492" s="142" t="n">
        <x:v>0.0000018051282051282052</x:v>
      </x:c>
      <x:c r="C1492" s="142" t="n">
        <x:v>0.0057692307692307696</x:v>
      </x:c>
      <x:c r="D1492" s="160" t="n">
        <x:v>1</x:v>
      </x:c>
      <x:c r="E1492" s="162" t="n">
        <x:v>-3180.1546333417486</x:v>
      </x:c>
      <x:c r="F1492" s="162" t="n">
        <x:v>0</x:v>
      </x:c>
      <x:c r="G1492" s="144" t="n">
        <x:v>0.03320732331759025</x:v>
      </x:c>
      <x:c r="H1492" s="144" t="n">
        <x:v>0.5</x:v>
      </x:c>
      <x:c r="I1492" s="137" t="str">
        <x:v>NONPOSITIVE-MODEL-MARGIN</x:v>
      </x:c>
      <x:c r="J1492" s="137" t="str">
        <x:v>V0.7-CONTROLLED-RESEARCH-SCREEN-NOT-DISTRIBUTION</x:v>
      </x:c>
    </x:row>
    <x:row r="1493" ht="22" customHeight="1">
      <x:c r="A1493" s="136" t="str">
        <x:v>SCR-1488</x:v>
      </x:c>
      <x:c r="B1493" s="143" t="n">
        <x:v>0.0000018051282051282052</x:v>
      </x:c>
      <x:c r="C1493" s="143" t="n">
        <x:v>0.006076923076923077</x:v>
      </x:c>
      <x:c r="D1493" s="161" t="n">
        <x:v>1</x:v>
      </x:c>
      <x:c r="E1493" s="163" t="n">
        <x:v>-3197.1501794911164</x:v>
      </x:c>
      <x:c r="F1493" s="163" t="n">
        <x:v>0</x:v>
      </x:c>
      <x:c r="G1493" s="145" t="n">
        <x:v>0.033497934916721275</x:v>
      </x:c>
      <x:c r="H1493" s="145" t="n">
        <x:v>0.5</x:v>
      </x:c>
      <x:c r="I1493" s="136" t="str">
        <x:v>NONPOSITIVE-MODEL-MARGIN</x:v>
      </x:c>
      <x:c r="J1493" s="136" t="str">
        <x:v>V0.7-CONTROLLED-RESEARCH-SCREEN-NOT-DISTRIBUTION</x:v>
      </x:c>
    </x:row>
    <x:row r="1494" ht="22" customHeight="1">
      <x:c r="A1494" s="137" t="str">
        <x:v>SCR-1489</x:v>
      </x:c>
      <x:c r="B1494" s="142" t="n">
        <x:v>0.0000018051282051282052</x:v>
      </x:c>
      <x:c r="C1494" s="142" t="n">
        <x:v>0.006384615384615384</x:v>
      </x:c>
      <x:c r="D1494" s="160" t="n">
        <x:v>1</x:v>
      </x:c>
      <x:c r="E1494" s="162" t="n">
        <x:v>-3214.102812867966</x:v>
      </x:c>
      <x:c r="F1494" s="162" t="n">
        <x:v>0</x:v>
      </x:c>
      <x:c r="G1494" s="144" t="n">
        <x:v>0.033788546515852315</x:v>
      </x:c>
      <x:c r="H1494" s="144" t="n">
        <x:v>0.5</x:v>
      </x:c>
      <x:c r="I1494" s="137" t="str">
        <x:v>NONPOSITIVE-MODEL-MARGIN</x:v>
      </x:c>
      <x:c r="J1494" s="137" t="str">
        <x:v>V0.7-CONTROLLED-RESEARCH-SCREEN-NOT-DISTRIBUTION</x:v>
      </x:c>
    </x:row>
    <x:row r="1495" ht="22" customHeight="1">
      <x:c r="A1495" s="136" t="str">
        <x:v>SCR-1490</x:v>
      </x:c>
      <x:c r="B1495" s="143" t="n">
        <x:v>0.0000018051282051282052</x:v>
      </x:c>
      <x:c r="C1495" s="143" t="n">
        <x:v>0.006692307692307693</x:v>
      </x:c>
      <x:c r="D1495" s="161" t="n">
        <x:v>1</x:v>
      </x:c>
      <x:c r="E1495" s="163" t="n">
        <x:v>-3231.012830572492</x:v>
      </x:c>
      <x:c r="F1495" s="163" t="n">
        <x:v>0</x:v>
      </x:c>
      <x:c r="G1495" s="145" t="n">
        <x:v>0.03407915811498334</x:v>
      </x:c>
      <x:c r="H1495" s="145" t="n">
        <x:v>0.5</x:v>
      </x:c>
      <x:c r="I1495" s="136" t="str">
        <x:v>NONPOSITIVE-MODEL-MARGIN</x:v>
      </x:c>
      <x:c r="J1495" s="136" t="str">
        <x:v>V0.7-CONTROLLED-RESEARCH-SCREEN-NOT-DISTRIBUTION</x:v>
      </x:c>
    </x:row>
    <x:row r="1496" ht="22" customHeight="1">
      <x:c r="A1496" s="137" t="str">
        <x:v>SCR-1491</x:v>
      </x:c>
      <x:c r="B1496" s="142" t="n">
        <x:v>0.0000018051282051282052</x:v>
      </x:c>
      <x:c r="C1496" s="142" t="n">
        <x:v>0.007</x:v>
      </x:c>
      <x:c r="D1496" s="160" t="n">
        <x:v>1</x:v>
      </x:c>
      <x:c r="E1496" s="162" t="n">
        <x:v>-3247.8805255630896</x:v>
      </x:c>
      <x:c r="F1496" s="162" t="n">
        <x:v>0</x:v>
      </x:c>
      <x:c r="G1496" s="144" t="n">
        <x:v>0.034369769714114366</x:v>
      </x:c>
      <x:c r="H1496" s="144" t="n">
        <x:v>0.5</x:v>
      </x:c>
      <x:c r="I1496" s="137" t="str">
        <x:v>NONPOSITIVE-MODEL-MARGIN</x:v>
      </x:c>
      <x:c r="J1496" s="137" t="str">
        <x:v>V0.7-CONTROLLED-RESEARCH-SCREEN-NOT-DISTRIBUTION</x:v>
      </x:c>
    </x:row>
    <x:row r="1497" ht="22" customHeight="1">
      <x:c r="A1497" s="136" t="str">
        <x:v>SCR-1492</x:v>
      </x:c>
      <x:c r="B1497" s="143" t="n">
        <x:v>0.0000018051282051282052</x:v>
      </x:c>
      <x:c r="C1497" s="143" t="n">
        <x:v>0.007307692307692308</x:v>
      </x:c>
      <x:c r="D1497" s="161" t="n">
        <x:v>1</x:v>
      </x:c>
      <x:c r="E1497" s="163" t="n">
        <x:v>-3264.7061867378607</x:v>
      </x:c>
      <x:c r="F1497" s="163" t="n">
        <x:v>0</x:v>
      </x:c>
      <x:c r="G1497" s="145" t="n">
        <x:v>0.0346603813132454</x:v>
      </x:c>
      <x:c r="H1497" s="145" t="n">
        <x:v>0.5</x:v>
      </x:c>
      <x:c r="I1497" s="136" t="str">
        <x:v>NONPOSITIVE-MODEL-MARGIN</x:v>
      </x:c>
      <x:c r="J1497" s="136" t="str">
        <x:v>V0.7-CONTROLLED-RESEARCH-SCREEN-NOT-DISTRIBUTION</x:v>
      </x:c>
    </x:row>
    <x:row r="1498" ht="22" customHeight="1">
      <x:c r="A1498" s="137" t="str">
        <x:v>SCR-1493</x:v>
      </x:c>
      <x:c r="B1498" s="142" t="n">
        <x:v>0.0000018051282051282052</x:v>
      </x:c>
      <x:c r="C1498" s="142" t="n">
        <x:v>0.007615384615384616</x:v>
      </x:c>
      <x:c r="D1498" s="160" t="n">
        <x:v>1</x:v>
      </x:c>
      <x:c r="E1498" s="162" t="n">
        <x:v>-3281.4900990141514</x:v>
      </x:c>
      <x:c r="F1498" s="162" t="n">
        <x:v>0</x:v>
      </x:c>
      <x:c r="G1498" s="144" t="n">
        <x:v>0.03495099291237643</x:v>
      </x:c>
      <x:c r="H1498" s="144" t="n">
        <x:v>0.5</x:v>
      </x:c>
      <x:c r="I1498" s="137" t="str">
        <x:v>NONPOSITIVE-MODEL-MARGIN</x:v>
      </x:c>
      <x:c r="J1498" s="137" t="str">
        <x:v>V0.7-CONTROLLED-RESEARCH-SCREEN-NOT-DISTRIBUTION</x:v>
      </x:c>
    </x:row>
    <x:row r="1499" ht="22" customHeight="1">
      <x:c r="A1499" s="136" t="str">
        <x:v>SCR-1494</x:v>
      </x:c>
      <x:c r="B1499" s="143" t="n">
        <x:v>0.0000018051282051282052</x:v>
      </x:c>
      <x:c r="C1499" s="143" t="n">
        <x:v>0.007923076923076923</x:v>
      </x:c>
      <x:c r="D1499" s="161" t="n">
        <x:v>1</x:v>
      </x:c>
      <x:c r="E1499" s="163" t="n">
        <x:v>-3298.23254340619</x:v>
      </x:c>
      <x:c r="F1499" s="163" t="n">
        <x:v>0</x:v>
      </x:c>
      <x:c r="G1499" s="145" t="n">
        <x:v>0.035241604511507464</x:v>
      </x:c>
      <x:c r="H1499" s="145" t="n">
        <x:v>0.5</x:v>
      </x:c>
      <x:c r="I1499" s="136" t="str">
        <x:v>NONPOSITIVE-MODEL-MARGIN</x:v>
      </x:c>
      <x:c r="J1499" s="136" t="str">
        <x:v>V0.7-CONTROLLED-RESEARCH-SCREEN-NOT-DISTRIBUTION</x:v>
      </x:c>
    </x:row>
    <x:row r="1500" ht="22" customHeight="1">
      <x:c r="A1500" s="137" t="str">
        <x:v>SCR-1495</x:v>
      </x:c>
      <x:c r="B1500" s="142" t="n">
        <x:v>0.0000018051282051282052</x:v>
      </x:c>
      <x:c r="C1500" s="142" t="n">
        <x:v>0.00823076923076923</x:v>
      </x:c>
      <x:c r="D1500" s="160" t="n">
        <x:v>1</x:v>
      </x:c>
      <x:c r="E1500" s="162" t="n">
        <x:v>-3314.933797100916</x:v>
      </x:c>
      <x:c r="F1500" s="162" t="n">
        <x:v>0</x:v>
      </x:c>
      <x:c r="G1500" s="144" t="n">
        <x:v>0.03553221611063848</x:v>
      </x:c>
      <x:c r="H1500" s="144" t="n">
        <x:v>0.5</x:v>
      </x:c>
      <x:c r="I1500" s="137" t="str">
        <x:v>NONPOSITIVE-MODEL-MARGIN</x:v>
      </x:c>
      <x:c r="J1500" s="137" t="str">
        <x:v>V0.7-CONTROLLED-RESEARCH-SCREEN-NOT-DISTRIBUTION</x:v>
      </x:c>
    </x:row>
    <x:row r="1501" ht="22" customHeight="1">
      <x:c r="A1501" s="136" t="str">
        <x:v>SCR-1496</x:v>
      </x:c>
      <x:c r="B1501" s="143" t="n">
        <x:v>0.0000018051282051282052</x:v>
      </x:c>
      <x:c r="C1501" s="143" t="n">
        <x:v>0.00853846153846154</x:v>
      </x:c>
      <x:c r="D1501" s="161" t="n">
        <x:v>1</x:v>
      </x:c>
      <x:c r="E1501" s="163" t="n">
        <x:v>-3331.5941335319367</x:v>
      </x:c>
      <x:c r="F1501" s="163" t="n">
        <x:v>0</x:v>
      </x:c>
      <x:c r="G1501" s="145" t="n">
        <x:v>0.03582282770976953</x:v>
      </x:c>
      <x:c r="H1501" s="145" t="n">
        <x:v>0.5</x:v>
      </x:c>
      <x:c r="I1501" s="136" t="str">
        <x:v>NONPOSITIVE-MODEL-MARGIN</x:v>
      </x:c>
      <x:c r="J1501" s="136" t="str">
        <x:v>V0.7-CONTROLLED-RESEARCH-SCREEN-NOT-DISTRIBUTION</x:v>
      </x:c>
    </x:row>
    <x:row r="1502" ht="22" customHeight="1">
      <x:c r="A1502" s="137" t="str">
        <x:v>SCR-1497</x:v>
      </x:c>
      <x:c r="B1502" s="142" t="n">
        <x:v>0.0000018051282051282052</x:v>
      </x:c>
      <x:c r="C1502" s="142" t="n">
        <x:v>0.008846153846153847</x:v>
      </x:c>
      <x:c r="D1502" s="160" t="n">
        <x:v>1</x:v>
      </x:c>
      <x:c r="E1502" s="162" t="n">
        <x:v>-3348.2138224517626</x:v>
      </x:c>
      <x:c r="F1502" s="162" t="n">
        <x:v>0</x:v>
      </x:c>
      <x:c r="G1502" s="144" t="n">
        <x:v>0.03611343930890055</x:v>
      </x:c>
      <x:c r="H1502" s="144" t="n">
        <x:v>0.5</x:v>
      </x:c>
      <x:c r="I1502" s="137" t="str">
        <x:v>NONPOSITIVE-MODEL-MARGIN</x:v>
      </x:c>
      <x:c r="J1502" s="137" t="str">
        <x:v>V0.7-CONTROLLED-RESEARCH-SCREEN-NOT-DISTRIBUTION</x:v>
      </x:c>
    </x:row>
    <x:row r="1503" ht="22" customHeight="1">
      <x:c r="A1503" s="136" t="str">
        <x:v>SCR-1498</x:v>
      </x:c>
      <x:c r="B1503" s="143" t="n">
        <x:v>0.0000018051282051282052</x:v>
      </x:c>
      <x:c r="C1503" s="143" t="n">
        <x:v>0.009153846153846155</x:v>
      </x:c>
      <x:c r="D1503" s="161" t="n">
        <x:v>1</x:v>
      </x:c>
      <x:c r="E1503" s="163" t="n">
        <x:v>-3364.793130002352</x:v>
      </x:c>
      <x:c r="F1503" s="163" t="n">
        <x:v>0</x:v>
      </x:c>
      <x:c r="G1503" s="145" t="n">
        <x:v>0.03640405090803158</x:v>
      </x:c>
      <x:c r="H1503" s="145" t="n">
        <x:v>0.5</x:v>
      </x:c>
      <x:c r="I1503" s="136" t="str">
        <x:v>NONPOSITIVE-MODEL-MARGIN</x:v>
      </x:c>
      <x:c r="J1503" s="136" t="str">
        <x:v>V0.7-CONTROLLED-RESEARCH-SCREEN-NOT-DISTRIBUTION</x:v>
      </x:c>
    </x:row>
    <x:row r="1504" ht="22" customHeight="1">
      <x:c r="A1504" s="137" t="str">
        <x:v>SCR-1499</x:v>
      </x:c>
      <x:c r="B1504" s="142" t="n">
        <x:v>0.0000018051282051282052</x:v>
      </x:c>
      <x:c r="C1504" s="142" t="n">
        <x:v>0.009461538461538462</x:v>
      </x:c>
      <x:c r="D1504" s="160" t="n">
        <x:v>1</x:v>
      </x:c>
      <x:c r="E1504" s="162" t="n">
        <x:v>-3381.3323187839096</x:v>
      </x:c>
      <x:c r="F1504" s="162" t="n">
        <x:v>0</x:v>
      </x:c>
      <x:c r="G1504" s="144" t="n">
        <x:v>0.03669466250716262</x:v>
      </x:c>
      <x:c r="H1504" s="144" t="n">
        <x:v>0.5</x:v>
      </x:c>
      <x:c r="I1504" s="137" t="str">
        <x:v>NONPOSITIVE-MODEL-MARGIN</x:v>
      </x:c>
      <x:c r="J1504" s="137" t="str">
        <x:v>V0.7-CONTROLLED-RESEARCH-SCREEN-NOT-DISTRIBUTION</x:v>
      </x:c>
    </x:row>
    <x:row r="1505" ht="22" customHeight="1">
      <x:c r="A1505" s="136" t="str">
        <x:v>SCR-1500</x:v>
      </x:c>
      <x:c r="B1505" s="143" t="n">
        <x:v>0.0000018051282051282052</x:v>
      </x:c>
      <x:c r="C1505" s="143" t="n">
        <x:v>0.00976923076923077</x:v>
      </x:c>
      <x:c r="D1505" s="161" t="n">
        <x:v>1</x:v>
      </x:c>
      <x:c r="E1505" s="163" t="n">
        <x:v>-3397.831647922124</x:v>
      </x:c>
      <x:c r="F1505" s="163" t="n">
        <x:v>0</x:v>
      </x:c>
      <x:c r="G1505" s="145" t="n">
        <x:v>0.03698527410629364</x:v>
      </x:c>
      <x:c r="H1505" s="145" t="n">
        <x:v>0.5</x:v>
      </x:c>
      <x:c r="I1505" s="136" t="str">
        <x:v>NONPOSITIVE-MODEL-MARGIN</x:v>
      </x:c>
      <x:c r="J1505" s="136" t="str">
        <x:v>V0.7-CONTROLLED-RESEARCH-SCREEN-NOT-DISTRIBUTION</x:v>
      </x:c>
    </x:row>
    <x:row r="1506" ht="22" customHeight="1">
      <x:c r="A1506" s="137" t="str">
        <x:v>SCR-1501</x:v>
      </x:c>
      <x:c r="B1506" s="142" t="n">
        <x:v>0.0000018051282051282052</x:v>
      </x:c>
      <x:c r="C1506" s="142" t="n">
        <x:v>0.010076923076923077</x:v>
      </x:c>
      <x:c r="D1506" s="160" t="n">
        <x:v>1</x:v>
      </x:c>
      <x:c r="E1506" s="162" t="n">
        <x:v>-3414.2913731338163</x:v>
      </x:c>
      <x:c r="F1506" s="162" t="n">
        <x:v>0</x:v>
      </x:c>
      <x:c r="G1506" s="144" t="n">
        <x:v>0.037275885705424686</x:v>
      </x:c>
      <x:c r="H1506" s="144" t="n">
        <x:v>0.5</x:v>
      </x:c>
      <x:c r="I1506" s="137" t="str">
        <x:v>NONPOSITIVE-MODEL-MARGIN</x:v>
      </x:c>
      <x:c r="J1506" s="137" t="str">
        <x:v>V0.7-CONTROLLED-RESEARCH-SCREEN-NOT-DISTRIBUTION</x:v>
      </x:c>
    </x:row>
    <x:row r="1507" ht="22" customHeight="1">
      <x:c r="A1507" s="136" t="str">
        <x:v>SCR-1502</x:v>
      </x:c>
      <x:c r="B1507" s="143" t="n">
        <x:v>0.0000018051282051282052</x:v>
      </x:c>
      <x:c r="C1507" s="143" t="n">
        <x:v>0.010384615384615384</x:v>
      </x:c>
      <x:c r="D1507" s="161" t="n">
        <x:v>1</x:v>
      </x:c>
      <x:c r="E1507" s="163" t="n">
        <x:v>-3427.4683944393955</x:v>
      </x:c>
      <x:c r="F1507" s="163" t="n">
        <x:v>0</x:v>
      </x:c>
      <x:c r="G1507" s="145" t="n">
        <x:v>0.037566497304555704</x:v>
      </x:c>
      <x:c r="H1507" s="145" t="n">
        <x:v>0.5</x:v>
      </x:c>
      <x:c r="I1507" s="136" t="str">
        <x:v>NONPOSITIVE-MODEL-MARGIN</x:v>
      </x:c>
      <x:c r="J1507" s="136" t="str">
        <x:v>V0.7-CONTROLLED-RESEARCH-SCREEN-NOT-DISTRIBUTION</x:v>
      </x:c>
    </x:row>
    <x:row r="1508" ht="22" customHeight="1">
      <x:c r="A1508" s="137" t="str">
        <x:v>SCR-1503</x:v>
      </x:c>
      <x:c r="B1508" s="142" t="n">
        <x:v>0.0000018051282051282052</x:v>
      </x:c>
      <x:c r="C1508" s="142" t="n">
        <x:v>0.010692307692307692</x:v>
      </x:c>
      <x:c r="D1508" s="160" t="n">
        <x:v>1</x:v>
      </x:c>
      <x:c r="E1508" s="162" t="n">
        <x:v>-3443.8576737884473</x:v>
      </x:c>
      <x:c r="F1508" s="162" t="n">
        <x:v>0</x:v>
      </x:c>
      <x:c r="G1508" s="144" t="n">
        <x:v>0.03785710890368674</x:v>
      </x:c>
      <x:c r="H1508" s="144" t="n">
        <x:v>0.5</x:v>
      </x:c>
      <x:c r="I1508" s="137" t="str">
        <x:v>NONPOSITIVE-MODEL-MARGIN</x:v>
      </x:c>
      <x:c r="J1508" s="137" t="str">
        <x:v>V0.7-CONTROLLED-RESEARCH-SCREEN-NOT-DISTRIBUTION</x:v>
      </x:c>
    </x:row>
    <x:row r="1509" ht="22" customHeight="1">
      <x:c r="A1509" s="136" t="str">
        <x:v>SCR-1504</x:v>
      </x:c>
      <x:c r="B1509" s="143" t="n">
        <x:v>0.0000018051282051282052</x:v>
      </x:c>
      <x:c r="C1509" s="143" t="n">
        <x:v>0.011</x:v>
      </x:c>
      <x:c r="D1509" s="161" t="n">
        <x:v>1</x:v>
      </x:c>
      <x:c r="E1509" s="163" t="n">
        <x:v>-3460.2080377017473</x:v>
      </x:c>
      <x:c r="F1509" s="163" t="n">
        <x:v>0</x:v>
      </x:c>
      <x:c r="G1509" s="145" t="n">
        <x:v>0.03814772050281777</x:v>
      </x:c>
      <x:c r="H1509" s="145" t="n">
        <x:v>0.5</x:v>
      </x:c>
      <x:c r="I1509" s="136" t="str">
        <x:v>NONPOSITIVE-MODEL-MARGIN</x:v>
      </x:c>
      <x:c r="J1509" s="136" t="str">
        <x:v>V0.7-CONTROLLED-RESEARCH-SCREEN-NOT-DISTRIBUTION</x:v>
      </x:c>
    </x:row>
    <x:row r="1510" ht="22" customHeight="1">
      <x:c r="A1510" s="137" t="str">
        <x:v>SCR-1505</x:v>
      </x:c>
      <x:c r="B1510" s="142" t="n">
        <x:v>0.0000018051282051282052</x:v>
      </x:c>
      <x:c r="C1510" s="142" t="n">
        <x:v>0.011307692307692307</x:v>
      </x:c>
      <x:c r="D1510" s="160" t="n">
        <x:v>1</x:v>
      </x:c>
      <x:c r="E1510" s="162" t="n">
        <x:v>-3476.5197297811496</x:v>
      </x:c>
      <x:c r="F1510" s="162" t="n">
        <x:v>0</x:v>
      </x:c>
      <x:c r="G1510" s="144" t="n">
        <x:v>0.0384383321019488</x:v>
      </x:c>
      <x:c r="H1510" s="144" t="n">
        <x:v>0.5</x:v>
      </x:c>
      <x:c r="I1510" s="137" t="str">
        <x:v>NONPOSITIVE-MODEL-MARGIN</x:v>
      </x:c>
      <x:c r="J1510" s="137" t="str">
        <x:v>V0.7-CONTROLLED-RESEARCH-SCREEN-NOT-DISTRIBUTION</x:v>
      </x:c>
    </x:row>
    <x:row r="1511" ht="22" customHeight="1">
      <x:c r="A1511" s="136" t="str">
        <x:v>SCR-1506</x:v>
      </x:c>
      <x:c r="B1511" s="143" t="n">
        <x:v>0.0000018051282051282052</x:v>
      </x:c>
      <x:c r="C1511" s="143" t="n">
        <x:v>0.011615384615384614</x:v>
      </x:c>
      <x:c r="D1511" s="161" t="n">
        <x:v>1</x:v>
      </x:c>
      <x:c r="E1511" s="163" t="n">
        <x:v>-3492.7929905052106</x:v>
      </x:c>
      <x:c r="F1511" s="163" t="n">
        <x:v>0</x:v>
      </x:c>
      <x:c r="G1511" s="145" t="n">
        <x:v>0.03872894370107983</x:v>
      </x:c>
      <x:c r="H1511" s="145" t="n">
        <x:v>0.5</x:v>
      </x:c>
      <x:c r="I1511" s="136" t="str">
        <x:v>NONPOSITIVE-MODEL-MARGIN</x:v>
      </x:c>
      <x:c r="J1511" s="136" t="str">
        <x:v>V0.7-CONTROLLED-RESEARCH-SCREEN-NOT-DISTRIBUTION</x:v>
      </x:c>
    </x:row>
    <x:row r="1512" ht="22" customHeight="1">
      <x:c r="A1512" s="137" t="str">
        <x:v>SCR-1507</x:v>
      </x:c>
      <x:c r="B1512" s="142" t="n">
        <x:v>0.0000018051282051282052</x:v>
      </x:c>
      <x:c r="C1512" s="142" t="n">
        <x:v>0.011923076923076925</x:v>
      </x:c>
      <x:c r="D1512" s="160" t="n">
        <x:v>1</x:v>
      </x:c>
      <x:c r="E1512" s="162" t="n">
        <x:v>-3509.028057286765</x:v>
      </x:c>
      <x:c r="F1512" s="162" t="n">
        <x:v>0</x:v>
      </x:c>
      <x:c r="G1512" s="144" t="n">
        <x:v>0.03901955530021087</x:v>
      </x:c>
      <x:c r="H1512" s="144" t="n">
        <x:v>0.5</x:v>
      </x:c>
      <x:c r="I1512" s="137" t="str">
        <x:v>NONPOSITIVE-MODEL-MARGIN</x:v>
      </x:c>
      <x:c r="J1512" s="137" t="str">
        <x:v>V0.7-CONTROLLED-RESEARCH-SCREEN-NOT-DISTRIBUTION</x:v>
      </x:c>
    </x:row>
    <x:row r="1513" ht="22" customHeight="1">
      <x:c r="A1513" s="136" t="str">
        <x:v>SCR-1508</x:v>
      </x:c>
      <x:c r="B1513" s="143" t="n">
        <x:v>0.0000018051282051282052</x:v>
      </x:c>
      <x:c r="C1513" s="143" t="n">
        <x:v>0.012230769230769233</x:v>
      </x:c>
      <x:c r="D1513" s="161" t="n">
        <x:v>1</x:v>
      </x:c>
      <x:c r="E1513" s="163" t="n">
        <x:v>-3525.225164529112</x:v>
      </x:c>
      <x:c r="F1513" s="163" t="n">
        <x:v>0</x:v>
      </x:c>
      <x:c r="G1513" s="145" t="n">
        <x:v>0.0393101668993419</x:v>
      </x:c>
      <x:c r="H1513" s="145" t="n">
        <x:v>0.5</x:v>
      </x:c>
      <x:c r="I1513" s="136" t="str">
        <x:v>NONPOSITIVE-MODEL-MARGIN</x:v>
      </x:c>
      <x:c r="J1513" s="136" t="str">
        <x:v>V0.7-CONTROLLED-RESEARCH-SCREEN-NOT-DISTRIBUTION</x:v>
      </x:c>
    </x:row>
    <x:row r="1514" ht="22" customHeight="1">
      <x:c r="A1514" s="137" t="str">
        <x:v>SCR-1509</x:v>
      </x:c>
      <x:c r="B1514" s="142" t="n">
        <x:v>0.0000018051282051282052</x:v>
      </x:c>
      <x:c r="C1514" s="142" t="n">
        <x:v>0.01253846153846154</x:v>
      </x:c>
      <x:c r="D1514" s="160" t="n">
        <x:v>1</x:v>
      </x:c>
      <x:c r="E1514" s="162" t="n">
        <x:v>-3541.3845436809775</x:v>
      </x:c>
      <x:c r="F1514" s="162" t="n">
        <x:v>0</x:v>
      </x:c>
      <x:c r="G1514" s="144" t="n">
        <x:v>0.03960077849847292</x:v>
      </x:c>
      <x:c r="H1514" s="144" t="n">
        <x:v>0.5</x:v>
      </x:c>
      <x:c r="I1514" s="137" t="str">
        <x:v>NONPOSITIVE-MODEL-MARGIN</x:v>
      </x:c>
      <x:c r="J1514" s="137" t="str">
        <x:v>V0.7-CONTROLLED-RESEARCH-SCREEN-NOT-DISTRIBUTION</x:v>
      </x:c>
    </x:row>
    <x:row r="1515" ht="22" customHeight="1">
      <x:c r="A1515" s="136" t="str">
        <x:v>SCR-1510</x:v>
      </x:c>
      <x:c r="B1515" s="143" t="n">
        <x:v>0.0000018051282051282052</x:v>
      </x:c>
      <x:c r="C1515" s="143" t="n">
        <x:v>0.012846153846153847</x:v>
      </x:c>
      <x:c r="D1515" s="161" t="n">
        <x:v>1</x:v>
      </x:c>
      <x:c r="E1515" s="163" t="n">
        <x:v>-3557.506423290126</x:v>
      </x:c>
      <x:c r="F1515" s="163" t="n">
        <x:v>0</x:v>
      </x:c>
      <x:c r="G1515" s="145" t="n">
        <x:v>0.03989139009760396</x:v>
      </x:c>
      <x:c r="H1515" s="145" t="n">
        <x:v>0.5</x:v>
      </x:c>
      <x:c r="I1515" s="136" t="str">
        <x:v>NONPOSITIVE-MODEL-MARGIN</x:v>
      </x:c>
      <x:c r="J1515" s="136" t="str">
        <x:v>V0.7-CONTROLLED-RESEARCH-SCREEN-NOT-DISTRIBUTION</x:v>
      </x:c>
    </x:row>
    <x:row r="1516" ht="22" customHeight="1">
      <x:c r="A1516" s="137" t="str">
        <x:v>SCR-1511</x:v>
      </x:c>
      <x:c r="B1516" s="142" t="n">
        <x:v>0.0000018051282051282052</x:v>
      </x:c>
      <x:c r="C1516" s="142" t="n">
        <x:v>0.013153846153846155</x:v>
      </x:c>
      <x:c r="D1516" s="160" t="n">
        <x:v>1</x:v>
      </x:c>
      <x:c r="E1516" s="162" t="n">
        <x:v>-3573.5910290558163</x:v>
      </x:c>
      <x:c r="F1516" s="162" t="n">
        <x:v>0</x:v>
      </x:c>
      <x:c r="G1516" s="144" t="n">
        <x:v>0.040182001696734984</x:v>
      </x:c>
      <x:c r="H1516" s="144" t="n">
        <x:v>0.5</x:v>
      </x:c>
      <x:c r="I1516" s="137" t="str">
        <x:v>NONPOSITIVE-MODEL-MARGIN</x:v>
      </x:c>
      <x:c r="J1516" s="137" t="str">
        <x:v>V0.7-CONTROLLED-RESEARCH-SCREEN-NOT-DISTRIBUTION</x:v>
      </x:c>
    </x:row>
    <x:row r="1517" ht="22" customHeight="1">
      <x:c r="A1517" s="136" t="str">
        <x:v>SCR-1512</x:v>
      </x:c>
      <x:c r="B1517" s="143" t="n">
        <x:v>0.0000018051282051282052</x:v>
      </x:c>
      <x:c r="C1517" s="143" t="n">
        <x:v>0.013461538461538462</x:v>
      </x:c>
      <x:c r="D1517" s="161" t="n">
        <x:v>1</x:v>
      </x:c>
      <x:c r="E1517" s="163" t="n">
        <x:v>-3589.6385838799847</x:v>
      </x:c>
      <x:c r="F1517" s="163" t="n">
        <x:v>0</x:v>
      </x:c>
      <x:c r="G1517" s="145" t="n">
        <x:v>0.040472613295866</x:v>
      </x:c>
      <x:c r="H1517" s="145" t="n">
        <x:v>0.5</x:v>
      </x:c>
      <x:c r="I1517" s="136" t="str">
        <x:v>NONPOSITIVE-MODEL-MARGIN</x:v>
      </x:c>
      <x:c r="J1517" s="136" t="str">
        <x:v>V0.7-CONTROLLED-RESEARCH-SCREEN-NOT-DISTRIBUTION</x:v>
      </x:c>
    </x:row>
    <x:row r="1518" ht="22" customHeight="1">
      <x:c r="A1518" s="137" t="str">
        <x:v>SCR-1513</x:v>
      </x:c>
      <x:c r="B1518" s="142" t="n">
        <x:v>0.0000018051282051282052</x:v>
      </x:c>
      <x:c r="C1518" s="142" t="n">
        <x:v>0.01376923076923077</x:v>
      </x:c>
      <x:c r="D1518" s="160" t="n">
        <x:v>1</x:v>
      </x:c>
      <x:c r="E1518" s="162" t="n">
        <x:v>-3605.649307917329</x:v>
      </x:c>
      <x:c r="F1518" s="162" t="n">
        <x:v>0</x:v>
      </x:c>
      <x:c r="G1518" s="144" t="n">
        <x:v>0.04076322489499704</x:v>
      </x:c>
      <x:c r="H1518" s="144" t="n">
        <x:v>0.5</x:v>
      </x:c>
      <x:c r="I1518" s="137" t="str">
        <x:v>NONPOSITIVE-MODEL-MARGIN</x:v>
      </x:c>
      <x:c r="J1518" s="137" t="str">
        <x:v>V0.7-CONTROLLED-RESEARCH-SCREEN-NOT-DISTRIBUTION</x:v>
      </x:c>
    </x:row>
    <x:row r="1519" ht="22" customHeight="1">
      <x:c r="A1519" s="136" t="str">
        <x:v>SCR-1514</x:v>
      </x:c>
      <x:c r="B1519" s="143" t="n">
        <x:v>0.0000018051282051282052</x:v>
      </x:c>
      <x:c r="C1519" s="143" t="n">
        <x:v>0.014076923076923077</x:v>
      </x:c>
      <x:c r="D1519" s="161" t="n">
        <x:v>1</x:v>
      </x:c>
      <x:c r="E1519" s="163" t="n">
        <x:v>-3621.6234186241763</x:v>
      </x:c>
      <x:c r="F1519" s="163" t="n">
        <x:v>0</x:v>
      </x:c>
      <x:c r="G1519" s="145" t="n">
        <x:v>0.041053836494128075</x:v>
      </x:c>
      <x:c r="H1519" s="145" t="n">
        <x:v>0.5</x:v>
      </x:c>
      <x:c r="I1519" s="136" t="str">
        <x:v>NONPOSITIVE-MODEL-MARGIN</x:v>
      </x:c>
      <x:c r="J1519" s="136" t="str">
        <x:v>V0.7-CONTROLLED-RESEARCH-SCREEN-NOT-DISTRIBUTION</x:v>
      </x:c>
    </x:row>
    <x:row r="1520" ht="22" customHeight="1">
      <x:c r="A1520" s="137" t="str">
        <x:v>SCR-1515</x:v>
      </x:c>
      <x:c r="B1520" s="142" t="n">
        <x:v>0.0000018051282051282052</x:v>
      </x:c>
      <x:c r="C1520" s="142" t="n">
        <x:v>0.014384615384615385</x:v>
      </x:c>
      <x:c r="D1520" s="160" t="n">
        <x:v>1</x:v>
      </x:c>
      <x:c r="E1520" s="162" t="n">
        <x:v>-3637.5611308063303</x:v>
      </x:c>
      <x:c r="F1520" s="162" t="n">
        <x:v>0</x:v>
      </x:c>
      <x:c r="G1520" s="144" t="n">
        <x:v>0.04134444809325911</x:v>
      </x:c>
      <x:c r="H1520" s="144" t="n">
        <x:v>0.5</x:v>
      </x:c>
      <x:c r="I1520" s="137" t="str">
        <x:v>NONPOSITIVE-MODEL-MARGIN</x:v>
      </x:c>
      <x:c r="J1520" s="137" t="str">
        <x:v>V0.7-CONTROLLED-RESEARCH-SCREEN-NOT-DISTRIBUTION</x:v>
      </x:c>
    </x:row>
    <x:row r="1521" ht="22" customHeight="1">
      <x:c r="A1521" s="136" t="str">
        <x:v>SCR-1516</x:v>
      </x:c>
      <x:c r="B1521" s="143" t="n">
        <x:v>0.0000018051282051282052</x:v>
      </x:c>
      <x:c r="C1521" s="143" t="n">
        <x:v>0.014692307692307692</x:v>
      </x:c>
      <x:c r="D1521" s="161" t="n">
        <x:v>1</x:v>
      </x:c>
      <x:c r="E1521" s="163" t="n">
        <x:v>-3650.3263706139323</x:v>
      </x:c>
      <x:c r="F1521" s="163" t="n">
        <x:v>0</x:v>
      </x:c>
      <x:c r="G1521" s="145" t="n">
        <x:v>0.04163505969239013</x:v>
      </x:c>
      <x:c r="H1521" s="145" t="n">
        <x:v>0.5</x:v>
      </x:c>
      <x:c r="I1521" s="136" t="str">
        <x:v>NONPOSITIVE-MODEL-MARGIN</x:v>
      </x:c>
      <x:c r="J1521" s="136" t="str">
        <x:v>V0.7-CONTROLLED-RESEARCH-SCREEN-NOT-DISTRIBUTION</x:v>
      </x:c>
    </x:row>
    <x:row r="1522" ht="22" customHeight="1">
      <x:c r="A1522" s="137" t="str">
        <x:v>SCR-1517</x:v>
      </x:c>
      <x:c r="B1522" s="142" t="n">
        <x:v>0.0000018051282051282052</x:v>
      </x:c>
      <x:c r="C1522" s="142" t="n">
        <x:v>0.015</x:v>
      </x:c>
      <x:c r="D1522" s="160" t="n">
        <x:v>1</x:v>
      </x:c>
      <x:c r="E1522" s="162" t="n">
        <x:v>-3666.1991788032055</x:v>
      </x:c>
      <x:c r="F1522" s="162" t="n">
        <x:v>0</x:v>
      </x:c>
      <x:c r="G1522" s="144" t="n">
        <x:v>0.04192567129152117</x:v>
      </x:c>
      <x:c r="H1522" s="144" t="n">
        <x:v>0.5</x:v>
      </x:c>
      <x:c r="I1522" s="137" t="str">
        <x:v>NONPOSITIVE-MODEL-MARGIN</x:v>
      </x:c>
      <x:c r="J1522" s="137" t="str">
        <x:v>V0.7-CONTROLLED-RESEARCH-SCREEN-NOT-DISTRIBUTION</x:v>
      </x:c>
    </x:row>
    <x:row r="1523" ht="22" customHeight="1">
      <x:c r="A1523" s="136" t="str">
        <x:v>SCR-1518</x:v>
      </x:c>
      <x:c r="B1523" s="143" t="n">
        <x:v>0.0000018538461538461537</x:v>
      </x:c>
      <x:c r="C1523" s="143" t="n">
        <x:v>0.003</x:v>
      </x:c>
      <x:c r="D1523" s="161" t="n">
        <x:v>1</x:v>
      </x:c>
      <x:c r="E1523" s="163" t="n">
        <x:v>-3069.576228336637</x:v>
      </x:c>
      <x:c r="F1523" s="163" t="n">
        <x:v>0</x:v>
      </x:c>
      <x:c r="G1523" s="145" t="n">
        <x:v>0.031282151568124604</x:v>
      </x:c>
      <x:c r="H1523" s="145" t="n">
        <x:v>0.5</x:v>
      </x:c>
      <x:c r="I1523" s="136" t="str">
        <x:v>NONPOSITIVE-MODEL-MARGIN</x:v>
      </x:c>
      <x:c r="J1523" s="136" t="str">
        <x:v>V0.7-CONTROLLED-RESEARCH-SCREEN-NOT-DISTRIBUTION</x:v>
      </x:c>
    </x:row>
    <x:row r="1524" ht="22" customHeight="1">
      <x:c r="A1524" s="137" t="str">
        <x:v>SCR-1519</x:v>
      </x:c>
      <x:c r="B1524" s="142" t="n">
        <x:v>0.0000018538461538461537</x:v>
      </x:c>
      <x:c r="C1524" s="142" t="n">
        <x:v>0.003307692307692308</x:v>
      </x:c>
      <x:c r="D1524" s="160" t="n">
        <x:v>1</x:v>
      </x:c>
      <x:c r="E1524" s="162" t="n">
        <x:v>-3086.866902519818</x:v>
      </x:c>
      <x:c r="F1524" s="162" t="n">
        <x:v>0</x:v>
      </x:c>
      <x:c r="G1524" s="144" t="n">
        <x:v>0.03157233580975415</x:v>
      </x:c>
      <x:c r="H1524" s="144" t="n">
        <x:v>0.5</x:v>
      </x:c>
      <x:c r="I1524" s="137" t="str">
        <x:v>NONPOSITIVE-MODEL-MARGIN</x:v>
      </x:c>
      <x:c r="J1524" s="137" t="str">
        <x:v>V0.7-CONTROLLED-RESEARCH-SCREEN-NOT-DISTRIBUTION</x:v>
      </x:c>
    </x:row>
    <x:row r="1525" ht="22" customHeight="1">
      <x:c r="A1525" s="136" t="str">
        <x:v>SCR-1520</x:v>
      </x:c>
      <x:c r="B1525" s="143" t="n">
        <x:v>0.0000018538461538461537</x:v>
      </x:c>
      <x:c r="C1525" s="143" t="n">
        <x:v>0.0036153846153846154</x:v>
      </x:c>
      <x:c r="D1525" s="161" t="n">
        <x:v>1</x:v>
      </x:c>
      <x:c r="E1525" s="163" t="n">
        <x:v>-3104.112624038915</x:v>
      </x:c>
      <x:c r="F1525" s="163" t="n">
        <x:v>0</x:v>
      </x:c>
      <x:c r="G1525" s="145" t="n">
        <x:v>0.03186252005138371</x:v>
      </x:c>
      <x:c r="H1525" s="145" t="n">
        <x:v>0.5</x:v>
      </x:c>
      <x:c r="I1525" s="136" t="str">
        <x:v>NONPOSITIVE-MODEL-MARGIN</x:v>
      </x:c>
      <x:c r="J1525" s="136" t="str">
        <x:v>V0.7-CONTROLLED-RESEARCH-SCREEN-NOT-DISTRIBUTION</x:v>
      </x:c>
    </x:row>
    <x:row r="1526" ht="22" customHeight="1">
      <x:c r="A1526" s="137" t="str">
        <x:v>SCR-1521</x:v>
      </x:c>
      <x:c r="B1526" s="142" t="n">
        <x:v>0.0000018538461538461537</x:v>
      </x:c>
      <x:c r="C1526" s="142" t="n">
        <x:v>0.003923076923076923</x:v>
      </x:c>
      <x:c r="D1526" s="160" t="n">
        <x:v>1</x:v>
      </x:c>
      <x:c r="E1526" s="162" t="n">
        <x:v>-3121.313719172307</x:v>
      </x:c>
      <x:c r="F1526" s="162" t="n">
        <x:v>0</x:v>
      </x:c>
      <x:c r="G1526" s="144" t="n">
        <x:v>0.032152704293013264</x:v>
      </x:c>
      <x:c r="H1526" s="144" t="n">
        <x:v>0.5</x:v>
      </x:c>
      <x:c r="I1526" s="137" t="str">
        <x:v>NONPOSITIVE-MODEL-MARGIN</x:v>
      </x:c>
      <x:c r="J1526" s="137" t="str">
        <x:v>V0.7-CONTROLLED-RESEARCH-SCREEN-NOT-DISTRIBUTION</x:v>
      </x:c>
    </x:row>
    <x:row r="1527" ht="22" customHeight="1">
      <x:c r="A1527" s="136" t="str">
        <x:v>SCR-1522</x:v>
      </x:c>
      <x:c r="B1527" s="143" t="n">
        <x:v>0.0000018538461538461537</x:v>
      </x:c>
      <x:c r="C1527" s="143" t="n">
        <x:v>0.004230769230769231</x:v>
      </x:c>
      <x:c r="D1527" s="161" t="n">
        <x:v>1</x:v>
      </x:c>
      <x:c r="E1527" s="163" t="n">
        <x:v>-3138.470509471362</x:v>
      </x:c>
      <x:c r="F1527" s="163" t="n">
        <x:v>0</x:v>
      </x:c>
      <x:c r="G1527" s="145" t="n">
        <x:v>0.032442888534642805</x:v>
      </x:c>
      <x:c r="H1527" s="145" t="n">
        <x:v>0.5</x:v>
      </x:c>
      <x:c r="I1527" s="136" t="str">
        <x:v>NONPOSITIVE-MODEL-MARGIN</x:v>
      </x:c>
      <x:c r="J1527" s="136" t="str">
        <x:v>V0.7-CONTROLLED-RESEARCH-SCREEN-NOT-DISTRIBUTION</x:v>
      </x:c>
    </x:row>
    <x:row r="1528" ht="22" customHeight="1">
      <x:c r="A1528" s="137" t="str">
        <x:v>SCR-1523</x:v>
      </x:c>
      <x:c r="B1528" s="142" t="n">
        <x:v>0.0000018538461538461537</x:v>
      </x:c>
      <x:c r="C1528" s="142" t="n">
        <x:v>0.004538461538461538</x:v>
      </x:c>
      <x:c r="D1528" s="160" t="n">
        <x:v>1</x:v>
      </x:c>
      <x:c r="E1528" s="162" t="n">
        <x:v>-3155.58331185602</x:v>
      </x:c>
      <x:c r="F1528" s="162" t="n">
        <x:v>0</x:v>
      </x:c>
      <x:c r="G1528" s="144" t="n">
        <x:v>0.03273307277627236</x:v>
      </x:c>
      <x:c r="H1528" s="144" t="n">
        <x:v>0.5</x:v>
      </x:c>
      <x:c r="I1528" s="137" t="str">
        <x:v>NONPOSITIVE-MODEL-MARGIN</x:v>
      </x:c>
      <x:c r="J1528" s="137" t="str">
        <x:v>V0.7-CONTROLLED-RESEARCH-SCREEN-NOT-DISTRIBUTION</x:v>
      </x:c>
    </x:row>
    <x:row r="1529" ht="22" customHeight="1">
      <x:c r="A1529" s="136" t="str">
        <x:v>SCR-1524</x:v>
      </x:c>
      <x:c r="B1529" s="143" t="n">
        <x:v>0.0000018538461538461537</x:v>
      </x:c>
      <x:c r="C1529" s="143" t="n">
        <x:v>0.004846153846153846</x:v>
      </x:c>
      <x:c r="D1529" s="161" t="n">
        <x:v>1</x:v>
      </x:c>
      <x:c r="E1529" s="163" t="n">
        <x:v>-3172.6524387081067</x:v>
      </x:c>
      <x:c r="F1529" s="163" t="n">
        <x:v>0</x:v>
      </x:c>
      <x:c r="G1529" s="145" t="n">
        <x:v>0.0330232570179019</x:v>
      </x:c>
      <x:c r="H1529" s="145" t="n">
        <x:v>0.5</x:v>
      </x:c>
      <x:c r="I1529" s="136" t="str">
        <x:v>NONPOSITIVE-MODEL-MARGIN</x:v>
      </x:c>
      <x:c r="J1529" s="136" t="str">
        <x:v>V0.7-CONTROLLED-RESEARCH-SCREEN-NOT-DISTRIBUTION</x:v>
      </x:c>
    </x:row>
    <x:row r="1530" ht="22" customHeight="1">
      <x:c r="A1530" s="137" t="str">
        <x:v>SCR-1525</x:v>
      </x:c>
      <x:c r="B1530" s="142" t="n">
        <x:v>0.0000018538461538461537</x:v>
      </x:c>
      <x:c r="C1530" s="142" t="n">
        <x:v>0.005</x:v>
      </x:c>
      <x:c r="D1530" s="160" t="n">
        <x:v>1</x:v>
      </x:c>
      <x:c r="E1530" s="162" t="n">
        <x:v>-3181.1707202103335</x:v>
      </x:c>
      <x:c r="F1530" s="162" t="n">
        <x:v>0</x:v>
      </x:c>
      <x:c r="G1530" s="144" t="n">
        <x:v>0.033168349138716684</x:v>
      </x:c>
      <x:c r="H1530" s="144" t="n">
        <x:v>0.5</x:v>
      </x:c>
      <x:c r="I1530" s="137" t="str">
        <x:v>NONPOSITIVE-MODEL-MARGIN</x:v>
      </x:c>
      <x:c r="J1530" s="137" t="str">
        <x:v>V0.7-CONTROLLED-RESEARCH-SCREEN-NOT-DISTRIBUTION</x:v>
      </x:c>
    </x:row>
    <x:row r="1531" ht="22" customHeight="1">
      <x:c r="A1531" s="136" t="str">
        <x:v>SCR-1526</x:v>
      </x:c>
      <x:c r="B1531" s="143" t="n">
        <x:v>0.0000018538461538461537</x:v>
      </x:c>
      <x:c r="C1531" s="143" t="n">
        <x:v>0.005153846153846154</x:v>
      </x:c>
      <x:c r="D1531" s="161" t="n">
        <x:v>1</x:v>
      </x:c>
      <x:c r="E1531" s="163" t="n">
        <x:v>-3189.678197962438</x:v>
      </x:c>
      <x:c r="F1531" s="163" t="n">
        <x:v>0</x:v>
      </x:c>
      <x:c r="G1531" s="145" t="n">
        <x:v>0.03331344125953145</x:v>
      </x:c>
      <x:c r="H1531" s="145" t="n">
        <x:v>0.5</x:v>
      </x:c>
      <x:c r="I1531" s="136" t="str">
        <x:v>NONPOSITIVE-MODEL-MARGIN</x:v>
      </x:c>
      <x:c r="J1531" s="136" t="str">
        <x:v>V0.7-CONTROLLED-RESEARCH-SCREEN-NOT-DISTRIBUTION</x:v>
      </x:c>
    </x:row>
    <x:row r="1532" ht="22" customHeight="1">
      <x:c r="A1532" s="137" t="str">
        <x:v>SCR-1527</x:v>
      </x:c>
      <x:c r="B1532" s="142" t="n">
        <x:v>0.0000018538461538461537</x:v>
      </x:c>
      <x:c r="C1532" s="142" t="n">
        <x:v>0.005461538461538462</x:v>
      </x:c>
      <x:c r="D1532" s="160" t="n">
        <x:v>1</x:v>
      </x:c>
      <x:c r="E1532" s="162" t="n">
        <x:v>-3206.6608931956825</x:v>
      </x:c>
      <x:c r="F1532" s="162" t="n">
        <x:v>0</x:v>
      </x:c>
      <x:c r="G1532" s="144" t="n">
        <x:v>0.033603625501161014</x:v>
      </x:c>
      <x:c r="H1532" s="144" t="n">
        <x:v>0.5</x:v>
      </x:c>
      <x:c r="I1532" s="137" t="str">
        <x:v>NONPOSITIVE-MODEL-MARGIN</x:v>
      </x:c>
      <x:c r="J1532" s="137" t="str">
        <x:v>V0.7-CONTROLLED-RESEARCH-SCREEN-NOT-DISTRIBUTION</x:v>
      </x:c>
    </x:row>
    <x:row r="1533" ht="22" customHeight="1">
      <x:c r="A1533" s="136" t="str">
        <x:v>SCR-1528</x:v>
      </x:c>
      <x:c r="B1533" s="143" t="n">
        <x:v>0.0000018538461538461537</x:v>
      </x:c>
      <x:c r="C1533" s="143" t="n">
        <x:v>0.0057692307692307696</x:v>
      </x:c>
      <x:c r="D1533" s="161" t="n">
        <x:v>1</x:v>
      </x:c>
      <x:c r="E1533" s="163" t="n">
        <x:v>-3223.6008237131123</x:v>
      </x:c>
      <x:c r="F1533" s="163" t="n">
        <x:v>0</x:v>
      </x:c>
      <x:c r="G1533" s="145" t="n">
        <x:v>0.03389380974279056</x:v>
      </x:c>
      <x:c r="H1533" s="145" t="n">
        <x:v>0.5</x:v>
      </x:c>
      <x:c r="I1533" s="136" t="str">
        <x:v>NONPOSITIVE-MODEL-MARGIN</x:v>
      </x:c>
      <x:c r="J1533" s="136" t="str">
        <x:v>V0.7-CONTROLLED-RESEARCH-SCREEN-NOT-DISTRIBUTION</x:v>
      </x:c>
    </x:row>
    <x:row r="1534" ht="22" customHeight="1">
      <x:c r="A1534" s="137" t="str">
        <x:v>SCR-1529</x:v>
      </x:c>
      <x:c r="B1534" s="142" t="n">
        <x:v>0.0000018538461538461537</x:v>
      </x:c>
      <x:c r="C1534" s="142" t="n">
        <x:v>0.006076923076923077</x:v>
      </x:c>
      <x:c r="D1534" s="160" t="n">
        <x:v>1</x:v>
      </x:c>
      <x:c r="E1534" s="162" t="n">
        <x:v>-3240.4982846332864</x:v>
      </x:c>
      <x:c r="F1534" s="162" t="n">
        <x:v>0</x:v>
      </x:c>
      <x:c r="G1534" s="144" t="n">
        <x:v>0.034183993984420104</x:v>
      </x:c>
      <x:c r="H1534" s="144" t="n">
        <x:v>0.5</x:v>
      </x:c>
      <x:c r="I1534" s="137" t="str">
        <x:v>NONPOSITIVE-MODEL-MARGIN</x:v>
      </x:c>
      <x:c r="J1534" s="137" t="str">
        <x:v>V0.7-CONTROLLED-RESEARCH-SCREEN-NOT-DISTRIBUTION</x:v>
      </x:c>
    </x:row>
    <x:row r="1535" ht="22" customHeight="1">
      <x:c r="A1535" s="136" t="str">
        <x:v>SCR-1530</x:v>
      </x:c>
      <x:c r="B1535" s="143" t="n">
        <x:v>0.0000018538461538461537</x:v>
      </x:c>
      <x:c r="C1535" s="143" t="n">
        <x:v>0.006384615384615384</x:v>
      </x:c>
      <x:c r="D1535" s="161" t="n">
        <x:v>1</x:v>
      </x:c>
      <x:c r="E1535" s="163" t="n">
        <x:v>-3257.35356697068</x:v>
      </x:c>
      <x:c r="F1535" s="163" t="n">
        <x:v>0</x:v>
      </x:c>
      <x:c r="G1535" s="145" t="n">
        <x:v>0.03447417822604966</x:v>
      </x:c>
      <x:c r="H1535" s="145" t="n">
        <x:v>0.5</x:v>
      </x:c>
      <x:c r="I1535" s="136" t="str">
        <x:v>NONPOSITIVE-MODEL-MARGIN</x:v>
      </x:c>
      <x:c r="J1535" s="136" t="str">
        <x:v>V0.7-CONTROLLED-RESEARCH-SCREEN-NOT-DISTRIBUTION</x:v>
      </x:c>
    </x:row>
    <x:row r="1536" ht="22" customHeight="1">
      <x:c r="A1536" s="137" t="str">
        <x:v>SCR-1531</x:v>
      </x:c>
      <x:c r="B1536" s="142" t="n">
        <x:v>0.0000018538461538461537</x:v>
      </x:c>
      <x:c r="C1536" s="142" t="n">
        <x:v>0.006692307692307693</x:v>
      </x:c>
      <x:c r="D1536" s="160" t="n">
        <x:v>1</x:v>
      </x:c>
      <x:c r="E1536" s="162" t="n">
        <x:v>-3274.1669577163475</x:v>
      </x:c>
      <x:c r="F1536" s="162" t="n">
        <x:v>0</x:v>
      </x:c>
      <x:c r="G1536" s="144" t="n">
        <x:v>0.034764362467679215</x:v>
      </x:c>
      <x:c r="H1536" s="144" t="n">
        <x:v>0.5</x:v>
      </x:c>
      <x:c r="I1536" s="137" t="str">
        <x:v>NONPOSITIVE-MODEL-MARGIN</x:v>
      </x:c>
      <x:c r="J1536" s="137" t="str">
        <x:v>V0.7-CONTROLLED-RESEARCH-SCREEN-NOT-DISTRIBUTION</x:v>
      </x:c>
    </x:row>
    <x:row r="1537" ht="22" customHeight="1">
      <x:c r="A1537" s="136" t="str">
        <x:v>SCR-1532</x:v>
      </x:c>
      <x:c r="B1537" s="143" t="n">
        <x:v>0.0000018538461538461537</x:v>
      </x:c>
      <x:c r="C1537" s="143" t="n">
        <x:v>0.007</x:v>
      </x:c>
      <x:c r="D1537" s="161" t="n">
        <x:v>1</x:v>
      </x:c>
      <x:c r="E1537" s="163" t="n">
        <x:v>-3290.9387399166476</x:v>
      </x:c>
      <x:c r="F1537" s="163" t="n">
        <x:v>0</x:v>
      </x:c>
      <x:c r="G1537" s="145" t="n">
        <x:v>0.03505454670930875</x:v>
      </x:c>
      <x:c r="H1537" s="145" t="n">
        <x:v>0.5</x:v>
      </x:c>
      <x:c r="I1537" s="136" t="str">
        <x:v>NONPOSITIVE-MODEL-MARGIN</x:v>
      </x:c>
      <x:c r="J1537" s="136" t="str">
        <x:v>V0.7-CONTROLLED-RESEARCH-SCREEN-NOT-DISTRIBUTION</x:v>
      </x:c>
    </x:row>
    <x:row r="1538" ht="22" customHeight="1">
      <x:c r="A1538" s="137" t="str">
        <x:v>SCR-1533</x:v>
      </x:c>
      <x:c r="B1538" s="142" t="n">
        <x:v>0.0000018538461538461537</x:v>
      </x:c>
      <x:c r="C1538" s="142" t="n">
        <x:v>0.007307692307692308</x:v>
      </x:c>
      <x:c r="D1538" s="160" t="n">
        <x:v>1</x:v>
      </x:c>
      <x:c r="E1538" s="162" t="n">
        <x:v>-3307.669192750064</x:v>
      </x:c>
      <x:c r="F1538" s="162" t="n">
        <x:v>0</x:v>
      </x:c>
      <x:c r="G1538" s="144" t="n">
        <x:v>0.035344730950938305</x:v>
      </x:c>
      <x:c r="H1538" s="144" t="n">
        <x:v>0.5</x:v>
      </x:c>
      <x:c r="I1538" s="137" t="str">
        <x:v>NONPOSITIVE-MODEL-MARGIN</x:v>
      </x:c>
      <x:c r="J1538" s="137" t="str">
        <x:v>V0.7-CONTROLLED-RESEARCH-SCREEN-NOT-DISTRIBUTION</x:v>
      </x:c>
    </x:row>
    <x:row r="1539" ht="22" customHeight="1">
      <x:c r="A1539" s="136" t="str">
        <x:v>SCR-1534</x:v>
      </x:c>
      <x:c r="B1539" s="143" t="n">
        <x:v>0.0000018538461538461537</x:v>
      </x:c>
      <x:c r="C1539" s="143" t="n">
        <x:v>0.007615384615384616</x:v>
      </x:c>
      <x:c r="D1539" s="161" t="n">
        <x:v>1</x:v>
      </x:c>
      <x:c r="E1539" s="163" t="n">
        <x:v>-3324.3585916022234</x:v>
      </x:c>
      <x:c r="F1539" s="163" t="n">
        <x:v>0</x:v>
      </x:c>
      <x:c r="G1539" s="145" t="n">
        <x:v>0.03563491519256787</x:v>
      </x:c>
      <x:c r="H1539" s="145" t="n">
        <x:v>0.5</x:v>
      </x:c>
      <x:c r="I1539" s="136" t="str">
        <x:v>NONPOSITIVE-MODEL-MARGIN</x:v>
      </x:c>
      <x:c r="J1539" s="136" t="str">
        <x:v>V0.7-CONTROLLED-RESEARCH-SCREEN-NOT-DISTRIBUTION</x:v>
      </x:c>
    </x:row>
    <x:row r="1540" ht="22" customHeight="1">
      <x:c r="A1540" s="137" t="str">
        <x:v>SCR-1535</x:v>
      </x:c>
      <x:c r="B1540" s="142" t="n">
        <x:v>0.0000018538461538461537</x:v>
      </x:c>
      <x:c r="C1540" s="142" t="n">
        <x:v>0.007923076923076923</x:v>
      </x:c>
      <x:c r="D1540" s="160" t="n">
        <x:v>1</x:v>
      </x:c>
      <x:c r="E1540" s="162" t="n">
        <x:v>-3341.0072081391195</x:v>
      </x:c>
      <x:c r="F1540" s="162" t="n">
        <x:v>0</x:v>
      </x:c>
      <x:c r="G1540" s="144" t="n">
        <x:v>0.035925099434197416</x:v>
      </x:c>
      <x:c r="H1540" s="144" t="n">
        <x:v>0.5</x:v>
      </x:c>
      <x:c r="I1540" s="137" t="str">
        <x:v>NONPOSITIVE-MODEL-MARGIN</x:v>
      </x:c>
      <x:c r="J1540" s="137" t="str">
        <x:v>V0.7-CONTROLLED-RESEARCH-SCREEN-NOT-DISTRIBUTION</x:v>
      </x:c>
    </x:row>
    <x:row r="1541" ht="22" customHeight="1">
      <x:c r="A1541" s="136" t="str">
        <x:v>SCR-1536</x:v>
      </x:c>
      <x:c r="B1541" s="143" t="n">
        <x:v>0.0000018538461538461537</x:v>
      </x:c>
      <x:c r="C1541" s="143" t="n">
        <x:v>0.00823076923076923</x:v>
      </x:c>
      <x:c r="D1541" s="161" t="n">
        <x:v>1</x:v>
      </x:c>
      <x:c r="E1541" s="163" t="n">
        <x:v>-3357.615310378557</x:v>
      </x:c>
      <x:c r="F1541" s="163" t="n">
        <x:v>0</x:v>
      </x:c>
      <x:c r="G1541" s="145" t="n">
        <x:v>0.03621528367582696</x:v>
      </x:c>
      <x:c r="H1541" s="145" t="n">
        <x:v>0.5</x:v>
      </x:c>
      <x:c r="I1541" s="136" t="str">
        <x:v>NONPOSITIVE-MODEL-MARGIN</x:v>
      </x:c>
      <x:c r="J1541" s="136" t="str">
        <x:v>V0.7-CONTROLLED-RESEARCH-SCREEN-NOT-DISTRIBUTION</x:v>
      </x:c>
    </x:row>
    <x:row r="1542" ht="22" customHeight="1">
      <x:c r="A1542" s="137" t="str">
        <x:v>SCR-1537</x:v>
      </x:c>
      <x:c r="B1542" s="142" t="n">
        <x:v>0.0000018538461538461537</x:v>
      </x:c>
      <x:c r="C1542" s="142" t="n">
        <x:v>0.00853846153846154</x:v>
      </x:c>
      <x:c r="D1542" s="160" t="n">
        <x:v>1</x:v>
      </x:c>
      <x:c r="E1542" s="162" t="n">
        <x:v>-3374.1831627599645</x:v>
      </x:c>
      <x:c r="F1542" s="162" t="n">
        <x:v>0</x:v>
      </x:c>
      <x:c r="G1542" s="144" t="n">
        <x:v>0.03650546791745651</x:v>
      </x:c>
      <x:c r="H1542" s="144" t="n">
        <x:v>0.5</x:v>
      </x:c>
      <x:c r="I1542" s="137" t="str">
        <x:v>NONPOSITIVE-MODEL-MARGIN</x:v>
      </x:c>
      <x:c r="J1542" s="137" t="str">
        <x:v>V0.7-CONTROLLED-RESEARCH-SCREEN-NOT-DISTRIBUTION</x:v>
      </x:c>
    </x:row>
    <x:row r="1543" ht="22" customHeight="1">
      <x:c r="A1543" s="136" t="str">
        <x:v>SCR-1538</x:v>
      </x:c>
      <x:c r="B1543" s="143" t="n">
        <x:v>0.0000018538461538461537</x:v>
      </x:c>
      <x:c r="C1543" s="143" t="n">
        <x:v>0.008846153846153847</x:v>
      </x:c>
      <x:c r="D1543" s="161" t="n">
        <x:v>1</x:v>
      </x:c>
      <x:c r="E1543" s="163" t="n">
        <x:v>-3390.711026212489</x:v>
      </x:c>
      <x:c r="F1543" s="163" t="n">
        <x:v>0</x:v>
      </x:c>
      <x:c r="G1543" s="145" t="n">
        <x:v>0.036795652159086055</x:v>
      </x:c>
      <x:c r="H1543" s="145" t="n">
        <x:v>0.5</x:v>
      </x:c>
      <x:c r="I1543" s="136" t="str">
        <x:v>NONPOSITIVE-MODEL-MARGIN</x:v>
      </x:c>
      <x:c r="J1543" s="136" t="str">
        <x:v>V0.7-CONTROLLED-RESEARCH-SCREEN-NOT-DISTRIBUTION</x:v>
      </x:c>
    </x:row>
    <x:row r="1544" ht="22" customHeight="1">
      <x:c r="A1544" s="137" t="str">
        <x:v>SCR-1539</x:v>
      </x:c>
      <x:c r="B1544" s="142" t="n">
        <x:v>0.0000018538461538461537</x:v>
      </x:c>
      <x:c r="C1544" s="142" t="n">
        <x:v>0.009153846153846155</x:v>
      </x:c>
      <x:c r="D1544" s="160" t="n">
        <x:v>1</x:v>
      </x:c>
      <x:c r="E1544" s="162" t="n">
        <x:v>-3407.1991582215037</x:v>
      </x:c>
      <x:c r="F1544" s="162" t="n">
        <x:v>0</x:v>
      </x:c>
      <x:c r="G1544" s="144" t="n">
        <x:v>0.037085836400715604</x:v>
      </x:c>
      <x:c r="H1544" s="144" t="n">
        <x:v>0.5</x:v>
      </x:c>
      <x:c r="I1544" s="137" t="str">
        <x:v>NONPOSITIVE-MODEL-MARGIN</x:v>
      </x:c>
      <x:c r="J1544" s="137" t="str">
        <x:v>V0.7-CONTROLLED-RESEARCH-SCREEN-NOT-DISTRIBUTION</x:v>
      </x:c>
    </x:row>
    <x:row r="1545" ht="22" customHeight="1">
      <x:c r="A1545" s="136" t="str">
        <x:v>SCR-1540</x:v>
      </x:c>
      <x:c r="B1545" s="143" t="n">
        <x:v>0.0000018538461538461537</x:v>
      </x:c>
      <x:c r="C1545" s="143" t="n">
        <x:v>0.009461538461538462</x:v>
      </x:c>
      <x:c r="D1545" s="161" t="n">
        <x:v>1</x:v>
      </x:c>
      <x:c r="E1545" s="163" t="n">
        <x:v>-3423.6478128935673</x:v>
      </x:c>
      <x:c r="F1545" s="163" t="n">
        <x:v>0</x:v>
      </x:c>
      <x:c r="G1545" s="145" t="n">
        <x:v>0.03737602064234516</x:v>
      </x:c>
      <x:c r="H1545" s="145" t="n">
        <x:v>0.5</x:v>
      </x:c>
      <x:c r="I1545" s="136" t="str">
        <x:v>NONPOSITIVE-MODEL-MARGIN</x:v>
      </x:c>
      <x:c r="J1545" s="136" t="str">
        <x:v>V0.7-CONTROLLED-RESEARCH-SCREEN-NOT-DISTRIBUTION</x:v>
      </x:c>
    </x:row>
    <x:row r="1546" ht="22" customHeight="1">
      <x:c r="A1546" s="137" t="str">
        <x:v>SCR-1541</x:v>
      </x:c>
      <x:c r="B1546" s="142" t="n">
        <x:v>0.0000018538461538461537</x:v>
      </x:c>
      <x:c r="C1546" s="142" t="n">
        <x:v>0.00976923076923077</x:v>
      </x:c>
      <x:c r="D1546" s="160" t="n">
        <x:v>1</x:v>
      </x:c>
      <x:c r="E1546" s="162" t="n">
        <x:v>-3440.0572410198247</x:v>
      </x:c>
      <x:c r="F1546" s="162" t="n">
        <x:v>0</x:v>
      </x:c>
      <x:c r="G1546" s="144" t="n">
        <x:v>0.03766620488397472</x:v>
      </x:c>
      <x:c r="H1546" s="144" t="n">
        <x:v>0.5</x:v>
      </x:c>
      <x:c r="I1546" s="137" t="str">
        <x:v>NONPOSITIVE-MODEL-MARGIN</x:v>
      </x:c>
      <x:c r="J1546" s="137" t="str">
        <x:v>V0.7-CONTROLLED-RESEARCH-SCREEN-NOT-DISTRIBUTION</x:v>
      </x:c>
    </x:row>
    <x:row r="1547" ht="22" customHeight="1">
      <x:c r="A1547" s="136" t="str">
        <x:v>SCR-1542</x:v>
      </x:c>
      <x:c r="B1547" s="143" t="n">
        <x:v>0.0000018538461538461537</x:v>
      </x:c>
      <x:c r="C1547" s="143" t="n">
        <x:v>0.010076923076923077</x:v>
      </x:c>
      <x:c r="D1547" s="161" t="n">
        <x:v>1</x:v>
      </x:c>
      <x:c r="E1547" s="163" t="n">
        <x:v>-3456.427690137948</x:v>
      </x:c>
      <x:c r="F1547" s="163" t="n">
        <x:v>0</x:v>
      </x:c>
      <x:c r="G1547" s="145" t="n">
        <x:v>0.03795638912560426</x:v>
      </x:c>
      <x:c r="H1547" s="145" t="n">
        <x:v>0.5</x:v>
      </x:c>
      <x:c r="I1547" s="136" t="str">
        <x:v>NONPOSITIVE-MODEL-MARGIN</x:v>
      </x:c>
      <x:c r="J1547" s="136" t="str">
        <x:v>V0.7-CONTROLLED-RESEARCH-SCREEN-NOT-DISTRIBUTION</x:v>
      </x:c>
    </x:row>
    <x:row r="1548" ht="22" customHeight="1">
      <x:c r="A1548" s="137" t="str">
        <x:v>SCR-1543</x:v>
      </x:c>
      <x:c r="B1548" s="142" t="n">
        <x:v>0.0000018538461538461537</x:v>
      </x:c>
      <x:c r="C1548" s="142" t="n">
        <x:v>0.010384615384615384</x:v>
      </x:c>
      <x:c r="D1548" s="160" t="n">
        <x:v>1</x:v>
      </x:c>
      <x:c r="E1548" s="162" t="n">
        <x:v>-3469.5347004591663</x:v>
      </x:c>
      <x:c r="F1548" s="162" t="n">
        <x:v>0</x:v>
      </x:c>
      <x:c r="G1548" s="144" t="n">
        <x:v>0.03824657336723381</x:v>
      </x:c>
      <x:c r="H1548" s="144" t="n">
        <x:v>0.5</x:v>
      </x:c>
      <x:c r="I1548" s="137" t="str">
        <x:v>NONPOSITIVE-MODEL-MARGIN</x:v>
      </x:c>
      <x:c r="J1548" s="137" t="str">
        <x:v>V0.7-CONTROLLED-RESEARCH-SCREEN-NOT-DISTRIBUTION</x:v>
      </x:c>
    </x:row>
    <x:row r="1549" ht="22" customHeight="1">
      <x:c r="A1549" s="136" t="str">
        <x:v>SCR-1544</x:v>
      </x:c>
      <x:c r="B1549" s="143" t="n">
        <x:v>0.0000018538461538461537</x:v>
      </x:c>
      <x:c r="C1549" s="143" t="n">
        <x:v>0.010692307692307692</x:v>
      </x:c>
      <x:c r="D1549" s="161" t="n">
        <x:v>1</x:v>
      </x:c>
      <x:c r="E1549" s="163" t="n">
        <x:v>-3485.835781788615</x:v>
      </x:c>
      <x:c r="F1549" s="163" t="n">
        <x:v>0</x:v>
      </x:c>
      <x:c r="G1549" s="145" t="n">
        <x:v>0.03853675760886336</x:v>
      </x:c>
      <x:c r="H1549" s="145" t="n">
        <x:v>0.5</x:v>
      </x:c>
      <x:c r="I1549" s="136" t="str">
        <x:v>NONPOSITIVE-MODEL-MARGIN</x:v>
      </x:c>
      <x:c r="J1549" s="136" t="str">
        <x:v>V0.7-CONTROLLED-RESEARCH-SCREEN-NOT-DISTRIBUTION</x:v>
      </x:c>
    </x:row>
    <x:row r="1550" ht="22" customHeight="1">
      <x:c r="A1550" s="137" t="str">
        <x:v>SCR-1545</x:v>
      </x:c>
      <x:c r="B1550" s="142" t="n">
        <x:v>0.0000018538461538461537</x:v>
      </x:c>
      <x:c r="C1550" s="142" t="n">
        <x:v>0.011</x:v>
      </x:c>
      <x:c r="D1550" s="160" t="n">
        <x:v>1</x:v>
      </x:c>
      <x:c r="E1550" s="162" t="n">
        <x:v>-3502.0985511874724</x:v>
      </x:c>
      <x:c r="F1550" s="162" t="n">
        <x:v>0</x:v>
      </x:c>
      <x:c r="G1550" s="144" t="n">
        <x:v>0.03882694185049291</x:v>
      </x:c>
      <x:c r="H1550" s="144" t="n">
        <x:v>0.5</x:v>
      </x:c>
      <x:c r="I1550" s="137" t="str">
        <x:v>NONPOSITIVE-MODEL-MARGIN</x:v>
      </x:c>
      <x:c r="J1550" s="137" t="str">
        <x:v>V0.7-CONTROLLED-RESEARCH-SCREEN-NOT-DISTRIBUTION</x:v>
      </x:c>
    </x:row>
    <x:row r="1551" ht="22" customHeight="1">
      <x:c r="A1551" s="136" t="str">
        <x:v>SCR-1546</x:v>
      </x:c>
      <x:c r="B1551" s="143" t="n">
        <x:v>0.0000018538461538461537</x:v>
      </x:c>
      <x:c r="C1551" s="143" t="n">
        <x:v>0.011307692307692307</x:v>
      </x:c>
      <x:c r="D1551" s="161" t="n">
        <x:v>1</x:v>
      </x:c>
      <x:c r="E1551" s="163" t="n">
        <x:v>-3518.323244614875</x:v>
      </x:c>
      <x:c r="F1551" s="163" t="n">
        <x:v>0</x:v>
      </x:c>
      <x:c r="G1551" s="145" t="n">
        <x:v>0.03911712609212246</x:v>
      </x:c>
      <x:c r="H1551" s="145" t="n">
        <x:v>0.5</x:v>
      </x:c>
      <x:c r="I1551" s="136" t="str">
        <x:v>NONPOSITIVE-MODEL-MARGIN</x:v>
      </x:c>
      <x:c r="J1551" s="136" t="str">
        <x:v>V0.7-CONTROLLED-RESEARCH-SCREEN-NOT-DISTRIBUTION</x:v>
      </x:c>
    </x:row>
    <x:row r="1552" ht="22" customHeight="1">
      <x:c r="A1552" s="137" t="str">
        <x:v>SCR-1547</x:v>
      </x:c>
      <x:c r="B1552" s="142" t="n">
        <x:v>0.0000018538461538461537</x:v>
      </x:c>
      <x:c r="C1552" s="142" t="n">
        <x:v>0.011615384615384614</x:v>
      </x:c>
      <x:c r="D1552" s="160" t="n">
        <x:v>1</x:v>
      </x:c>
      <x:c r="E1552" s="162" t="n">
        <x:v>-3534.5100950464043</x:v>
      </x:c>
      <x:c r="F1552" s="162" t="n">
        <x:v>0</x:v>
      </x:c>
      <x:c r="G1552" s="144" t="n">
        <x:v>0.03940731033375201</x:v>
      </x:c>
      <x:c r="H1552" s="144" t="n">
        <x:v>0.5</x:v>
      </x:c>
      <x:c r="I1552" s="137" t="str">
        <x:v>NONPOSITIVE-MODEL-MARGIN</x:v>
      </x:c>
      <x:c r="J1552" s="137" t="str">
        <x:v>V0.7-CONTROLLED-RESEARCH-SCREEN-NOT-DISTRIBUTION</x:v>
      </x:c>
    </x:row>
    <x:row r="1553" ht="22" customHeight="1">
      <x:c r="A1553" s="136" t="str">
        <x:v>SCR-1548</x:v>
      </x:c>
      <x:c r="B1553" s="143" t="n">
        <x:v>0.0000018538461538461537</x:v>
      </x:c>
      <x:c r="C1553" s="143" t="n">
        <x:v>0.011923076923076925</x:v>
      </x:c>
      <x:c r="D1553" s="161" t="n">
        <x:v>1</x:v>
      </x:c>
      <x:c r="E1553" s="163" t="n">
        <x:v>-3550.6593325284657</x:v>
      </x:c>
      <x:c r="F1553" s="163" t="n">
        <x:v>0</x:v>
      </x:c>
      <x:c r="G1553" s="145" t="n">
        <x:v>0.039697494575381576</x:v>
      </x:c>
      <x:c r="H1553" s="145" t="n">
        <x:v>0.5</x:v>
      </x:c>
      <x:c r="I1553" s="136" t="str">
        <x:v>NONPOSITIVE-MODEL-MARGIN</x:v>
      </x:c>
      <x:c r="J1553" s="136" t="str">
        <x:v>V0.7-CONTROLLED-RESEARCH-SCREEN-NOT-DISTRIBUTION</x:v>
      </x:c>
    </x:row>
    <x:row r="1554" ht="22" customHeight="1">
      <x:c r="A1554" s="137" t="str">
        <x:v>SCR-1549</x:v>
      </x:c>
      <x:c r="B1554" s="142" t="n">
        <x:v>0.0000018538461538461537</x:v>
      </x:c>
      <x:c r="C1554" s="142" t="n">
        <x:v>0.012230769230769233</x:v>
      </x:c>
      <x:c r="D1554" s="160" t="n">
        <x:v>1</x:v>
      </x:c>
      <x:c r="E1554" s="162" t="n">
        <x:v>-3566.7711842313524</x:v>
      </x:c>
      <x:c r="F1554" s="162" t="n">
        <x:v>0</x:v>
      </x:c>
      <x:c r="G1554" s="144" t="n">
        <x:v>0.03998767881701112</x:v>
      </x:c>
      <x:c r="H1554" s="144" t="n">
        <x:v>0.5</x:v>
      </x:c>
      <x:c r="I1554" s="137" t="str">
        <x:v>NONPOSITIVE-MODEL-MARGIN</x:v>
      </x:c>
      <x:c r="J1554" s="137" t="str">
        <x:v>V0.7-CONTROLLED-RESEARCH-SCREEN-NOT-DISTRIBUTION</x:v>
      </x:c>
    </x:row>
    <x:row r="1555" ht="22" customHeight="1">
      <x:c r="A1555" s="136" t="str">
        <x:v>SCR-1550</x:v>
      </x:c>
      <x:c r="B1555" s="143" t="n">
        <x:v>0.0000018538461538461537</x:v>
      </x:c>
      <x:c r="C1555" s="143" t="n">
        <x:v>0.01253846153846154</x:v>
      </x:c>
      <x:c r="D1555" s="161" t="n">
        <x:v>1</x:v>
      </x:c>
      <x:c r="E1555" s="163" t="n">
        <x:v>-3582.8458745011185</x:v>
      </x:c>
      <x:c r="F1555" s="163" t="n">
        <x:v>0</x:v>
      </x:c>
      <x:c r="G1555" s="145" t="n">
        <x:v>0.04027786305864066</x:v>
      </x:c>
      <x:c r="H1555" s="145" t="n">
        <x:v>0.5</x:v>
      </x:c>
      <x:c r="I1555" s="136" t="str">
        <x:v>NONPOSITIVE-MODEL-MARGIN</x:v>
      </x:c>
      <x:c r="J1555" s="136" t="str">
        <x:v>V0.7-CONTROLLED-RESEARCH-SCREEN-NOT-DISTRIBUTION</x:v>
      </x:c>
    </x:row>
    <x:row r="1556" ht="22" customHeight="1">
      <x:c r="A1556" s="137" t="str">
        <x:v>SCR-1551</x:v>
      </x:c>
      <x:c r="B1556" s="142" t="n">
        <x:v>0.0000018538461538461537</x:v>
      </x:c>
      <x:c r="C1556" s="142" t="n">
        <x:v>0.012846153846153847</x:v>
      </x:c>
      <x:c r="D1556" s="160" t="n">
        <x:v>1</x:v>
      </x:c>
      <x:c r="E1556" s="162" t="n">
        <x:v>-3598.8836249102646</x:v>
      </x:c>
      <x:c r="F1556" s="162" t="n">
        <x:v>0</x:v>
      </x:c>
      <x:c r="G1556" s="144" t="n">
        <x:v>0.04056804730027022</x:v>
      </x:c>
      <x:c r="H1556" s="144" t="n">
        <x:v>0.5</x:v>
      </x:c>
      <x:c r="I1556" s="137" t="str">
        <x:v>NONPOSITIVE-MODEL-MARGIN</x:v>
      </x:c>
      <x:c r="J1556" s="137" t="str">
        <x:v>V0.7-CONTROLLED-RESEARCH-SCREEN-NOT-DISTRIBUTION</x:v>
      </x:c>
    </x:row>
    <x:row r="1557" ht="22" customHeight="1">
      <x:c r="A1557" s="136" t="str">
        <x:v>SCR-1552</x:v>
      </x:c>
      <x:c r="B1557" s="143" t="n">
        <x:v>0.0000018538461538461537</x:v>
      </x:c>
      <x:c r="C1557" s="143" t="n">
        <x:v>0.013153846153846155</x:v>
      </x:c>
      <x:c r="D1557" s="161" t="n">
        <x:v>1</x:v>
      </x:c>
      <x:c r="E1557" s="163" t="n">
        <x:v>-3614.8846543072555</x:v>
      </x:c>
      <x:c r="F1557" s="163" t="n">
        <x:v>0</x:v>
      </x:c>
      <x:c r="G1557" s="145" t="n">
        <x:v>0.04085823154189976</x:v>
      </x:c>
      <x:c r="H1557" s="145" t="n">
        <x:v>0.5</x:v>
      </x:c>
      <x:c r="I1557" s="136" t="str">
        <x:v>NONPOSITIVE-MODEL-MARGIN</x:v>
      </x:c>
      <x:c r="J1557" s="136" t="str">
        <x:v>V0.7-CONTROLLED-RESEARCH-SCREEN-NOT-DISTRIBUTION</x:v>
      </x:c>
    </x:row>
    <x:row r="1558" ht="22" customHeight="1">
      <x:c r="A1558" s="137" t="str">
        <x:v>SCR-1553</x:v>
      </x:c>
      <x:c r="B1558" s="142" t="n">
        <x:v>0.0000018538461538461537</x:v>
      </x:c>
      <x:c r="C1558" s="142" t="n">
        <x:v>0.013461538461538462</x:v>
      </x:c>
      <x:c r="D1558" s="160" t="n">
        <x:v>1</x:v>
      </x:c>
      <x:c r="E1558" s="162" t="n">
        <x:v>-3630.849178864938</x:v>
      </x:c>
      <x:c r="F1558" s="162" t="n">
        <x:v>0</x:v>
      </x:c>
      <x:c r="G1558" s="144" t="n">
        <x:v>0.041148415783529305</x:v>
      </x:c>
      <x:c r="H1558" s="144" t="n">
        <x:v>0.5</x:v>
      </x:c>
      <x:c r="I1558" s="137" t="str">
        <x:v>NONPOSITIVE-MODEL-MARGIN</x:v>
      </x:c>
      <x:c r="J1558" s="137" t="str">
        <x:v>V0.7-CONTROLLED-RESEARCH-SCREEN-NOT-DISTRIBUTION</x:v>
      </x:c>
    </x:row>
    <x:row r="1559" ht="22" customHeight="1">
      <x:c r="A1559" s="136" t="str">
        <x:v>SCR-1554</x:v>
      </x:c>
      <x:c r="B1559" s="143" t="n">
        <x:v>0.0000018538461538461537</x:v>
      </x:c>
      <x:c r="C1559" s="143" t="n">
        <x:v>0.01376923076923077</x:v>
      </x:c>
      <x:c r="D1559" s="161" t="n">
        <x:v>1</x:v>
      </x:c>
      <x:c r="E1559" s="163" t="n">
        <x:v>-3646.7774121278303</x:v>
      </x:c>
      <x:c r="F1559" s="163" t="n">
        <x:v>0</x:v>
      </x:c>
      <x:c r="G1559" s="145" t="n">
        <x:v>0.04143860002515887</x:v>
      </x:c>
      <x:c r="H1559" s="145" t="n">
        <x:v>0.5</x:v>
      </x:c>
      <x:c r="I1559" s="136" t="str">
        <x:v>NONPOSITIVE-MODEL-MARGIN</x:v>
      </x:c>
      <x:c r="J1559" s="136" t="str">
        <x:v>V0.7-CONTROLLED-RESEARCH-SCREEN-NOT-DISTRIBUTION</x:v>
      </x:c>
    </x:row>
    <x:row r="1560" ht="22" customHeight="1">
      <x:c r="A1560" s="137" t="str">
        <x:v>SCR-1555</x:v>
      </x:c>
      <x:c r="B1560" s="142" t="n">
        <x:v>0.0000018538461538461537</x:v>
      </x:c>
      <x:c r="C1560" s="142" t="n">
        <x:v>0.014076923076923077</x:v>
      </x:c>
      <x:c r="D1560" s="160" t="n">
        <x:v>1</x:v>
      </x:c>
      <x:c r="E1560" s="162" t="n">
        <x:v>-3662.6695650583515</x:v>
      </x:c>
      <x:c r="F1560" s="162" t="n">
        <x:v>0</x:v>
      </x:c>
      <x:c r="G1560" s="144" t="n">
        <x:v>0.041728784266788416</x:v>
      </x:c>
      <x:c r="H1560" s="144" t="n">
        <x:v>0.5</x:v>
      </x:c>
      <x:c r="I1560" s="137" t="str">
        <x:v>NONPOSITIVE-MODEL-MARGIN</x:v>
      </x:c>
      <x:c r="J1560" s="137" t="str">
        <x:v>V0.7-CONTROLLED-RESEARCH-SCREEN-NOT-DISTRIBUTION</x:v>
      </x:c>
    </x:row>
    <x:row r="1561" ht="22" customHeight="1">
      <x:c r="A1561" s="136" t="str">
        <x:v>SCR-1556</x:v>
      </x:c>
      <x:c r="B1561" s="143" t="n">
        <x:v>0.0000018538461538461537</x:v>
      </x:c>
      <x:c r="C1561" s="143" t="n">
        <x:v>0.014384615384615385</x:v>
      </x:c>
      <x:c r="D1561" s="161" t="n">
        <x:v>1</x:v>
      </x:c>
      <x:c r="E1561" s="163" t="n">
        <x:v>-3675.399139251854</x:v>
      </x:c>
      <x:c r="F1561" s="163" t="n">
        <x:v>0</x:v>
      </x:c>
      <x:c r="G1561" s="145" t="n">
        <x:v>0.042018968508417964</x:v>
      </x:c>
      <x:c r="H1561" s="145" t="n">
        <x:v>0.5</x:v>
      </x:c>
      <x:c r="I1561" s="136" t="str">
        <x:v>NONPOSITIVE-MODEL-MARGIN</x:v>
      </x:c>
      <x:c r="J1561" s="136" t="str">
        <x:v>V0.7-CONTROLLED-RESEARCH-SCREEN-NOT-DISTRIBUTION</x:v>
      </x:c>
    </x:row>
    <x:row r="1562" ht="22" customHeight="1">
      <x:c r="A1562" s="137" t="str">
        <x:v>SCR-1557</x:v>
      </x:c>
      <x:c r="B1562" s="142" t="n">
        <x:v>0.0000018538461538461537</x:v>
      </x:c>
      <x:c r="C1562" s="142" t="n">
        <x:v>0.014692307692307692</x:v>
      </x:c>
      <x:c r="D1562" s="160" t="n">
        <x:v>1</x:v>
      </x:c>
      <x:c r="E1562" s="162" t="n">
        <x:v>-3691.226939551966</x:v>
      </x:c>
      <x:c r="F1562" s="162" t="n">
        <x:v>0</x:v>
      </x:c>
      <x:c r="G1562" s="144" t="n">
        <x:v>0.04230915275004751</x:v>
      </x:c>
      <x:c r="H1562" s="144" t="n">
        <x:v>0.5</x:v>
      </x:c>
      <x:c r="I1562" s="137" t="str">
        <x:v>NONPOSITIVE-MODEL-MARGIN</x:v>
      </x:c>
      <x:c r="J1562" s="137" t="str">
        <x:v>V0.7-CONTROLLED-RESEARCH-SCREEN-NOT-DISTRIBUTION</x:v>
      </x:c>
    </x:row>
    <x:row r="1563" ht="22" customHeight="1">
      <x:c r="A1563" s="136" t="str">
        <x:v>SCR-1558</x:v>
      </x:c>
      <x:c r="B1563" s="143" t="n">
        <x:v>0.0000018538461538461537</x:v>
      </x:c>
      <x:c r="C1563" s="143" t="n">
        <x:v>0.015</x:v>
      </x:c>
      <x:c r="D1563" s="161" t="n">
        <x:v>1</x:v>
      </x:c>
      <x:c r="E1563" s="163" t="n">
        <x:v>-3707.019230410849</x:v>
      </x:c>
      <x:c r="F1563" s="163" t="n">
        <x:v>0</x:v>
      </x:c>
      <x:c r="G1563" s="145" t="n">
        <x:v>0.04259933699167707</x:v>
      </x:c>
      <x:c r="H1563" s="145" t="n">
        <x:v>0.5</x:v>
      </x:c>
      <x:c r="I1563" s="136" t="str">
        <x:v>NONPOSITIVE-MODEL-MARGIN</x:v>
      </x:c>
      <x:c r="J1563" s="136" t="str">
        <x:v>V0.7-CONTROLLED-RESEARCH-SCREEN-NOT-DISTRIBUTION</x:v>
      </x:c>
    </x:row>
    <x:row r="1564" ht="22" customHeight="1">
      <x:c r="A1564" s="137" t="str">
        <x:v>SCR-1559</x:v>
      </x:c>
      <x:c r="B1564" s="142" t="n">
        <x:v>0.0000019025641025641026</x:v>
      </x:c>
      <x:c r="C1564" s="142" t="n">
        <x:v>0.003</x:v>
      </x:c>
      <x:c r="D1564" s="160" t="n">
        <x:v>1</x:v>
      </x:c>
      <x:c r="E1564" s="162" t="n">
        <x:v>-3113.698745681806</x:v>
      </x:c>
      <x:c r="F1564" s="162" t="n">
        <x:v>0</x:v>
      </x:c>
      <x:c r="G1564" s="144" t="n">
        <x:v>0.03197045686145662</x:v>
      </x:c>
      <x:c r="H1564" s="144" t="n">
        <x:v>0.5</x:v>
      </x:c>
      <x:c r="I1564" s="137" t="str">
        <x:v>NONPOSITIVE-MODEL-MARGIN</x:v>
      </x:c>
      <x:c r="J1564" s="137" t="str">
        <x:v>V0.7-CONTROLLED-RESEARCH-SCREEN-NOT-DISTRIBUTION</x:v>
      </x:c>
    </x:row>
    <x:row r="1565" ht="22" customHeight="1">
      <x:c r="A1565" s="136" t="str">
        <x:v>SCR-1560</x:v>
      </x:c>
      <x:c r="B1565" s="143" t="n">
        <x:v>0.0000019025641025641026</x:v>
      </x:c>
      <x:c r="C1565" s="143" t="n">
        <x:v>0.003307692307692308</x:v>
      </x:c>
      <x:c r="D1565" s="161" t="n">
        <x:v>1</x:v>
      </x:c>
      <x:c r="E1565" s="163" t="n">
        <x:v>-3130.8862837488286</x:v>
      </x:c>
      <x:c r="F1565" s="163" t="n">
        <x:v>0</x:v>
      </x:c>
      <x:c r="G1565" s="145" t="n">
        <x:v>0.03226021500063672</x:v>
      </x:c>
      <x:c r="H1565" s="145" t="n">
        <x:v>0.5</x:v>
      </x:c>
      <x:c r="I1565" s="136" t="str">
        <x:v>NONPOSITIVE-MODEL-MARGIN</x:v>
      </x:c>
      <x:c r="J1565" s="136" t="str">
        <x:v>V0.7-CONTROLLED-RESEARCH-SCREEN-NOT-DISTRIBUTION</x:v>
      </x:c>
    </x:row>
    <x:row r="1566" ht="22" customHeight="1">
      <x:c r="A1566" s="137" t="str">
        <x:v>SCR-1561</x:v>
      </x:c>
      <x:c r="B1566" s="142" t="n">
        <x:v>0.0000019025641025641026</x:v>
      </x:c>
      <x:c r="C1566" s="142" t="n">
        <x:v>0.0036153846153846154</x:v>
      </x:c>
      <x:c r="D1566" s="160" t="n">
        <x:v>1</x:v>
      </x:c>
      <x:c r="E1566" s="162" t="n">
        <x:v>-3148.029674510136</x:v>
      </x:c>
      <x:c r="F1566" s="162" t="n">
        <x:v>0</x:v>
      </x:c>
      <x:c r="G1566" s="144" t="n">
        <x:v>0.03254997313981682</x:v>
      </x:c>
      <x:c r="H1566" s="144" t="n">
        <x:v>0.5</x:v>
      </x:c>
      <x:c r="I1566" s="137" t="str">
        <x:v>NONPOSITIVE-MODEL-MARGIN</x:v>
      </x:c>
      <x:c r="J1566" s="137" t="str">
        <x:v>V0.7-CONTROLLED-RESEARCH-SCREEN-NOT-DISTRIBUTION</x:v>
      </x:c>
    </x:row>
    <x:row r="1567" ht="22" customHeight="1">
      <x:c r="A1567" s="136" t="str">
        <x:v>SCR-1562</x:v>
      </x:c>
      <x:c r="B1567" s="143" t="n">
        <x:v>0.0000019025641025641026</x:v>
      </x:c>
      <x:c r="C1567" s="143" t="n">
        <x:v>0.003923076923076923</x:v>
      </x:c>
      <x:c r="D1567" s="161" t="n">
        <x:v>1</x:v>
      </x:c>
      <x:c r="E1567" s="163" t="n">
        <x:v>-3165.129232720891</x:v>
      </x:c>
      <x:c r="F1567" s="163" t="n">
        <x:v>0</x:v>
      </x:c>
      <x:c r="G1567" s="145" t="n">
        <x:v>0.03283973127899692</x:v>
      </x:c>
      <x:c r="H1567" s="145" t="n">
        <x:v>0.5</x:v>
      </x:c>
      <x:c r="I1567" s="136" t="str">
        <x:v>NONPOSITIVE-MODEL-MARGIN</x:v>
      </x:c>
      <x:c r="J1567" s="136" t="str">
        <x:v>V0.7-CONTROLLED-RESEARCH-SCREEN-NOT-DISTRIBUTION</x:v>
      </x:c>
    </x:row>
    <x:row r="1568" ht="22" customHeight="1">
      <x:c r="A1568" s="137" t="str">
        <x:v>SCR-1563</x:v>
      </x:c>
      <x:c r="B1568" s="142" t="n">
        <x:v>0.0000019025641025641026</x:v>
      </x:c>
      <x:c r="C1568" s="142" t="n">
        <x:v>0.004230769230769231</x:v>
      </x:c>
      <x:c r="D1568" s="160" t="n">
        <x:v>1</x:v>
      </x:c>
      <x:c r="E1568" s="162" t="n">
        <x:v>-3182.1852686400052</x:v>
      </x:c>
      <x:c r="F1568" s="162" t="n">
        <x:v>0</x:v>
      </x:c>
      <x:c r="G1568" s="144" t="n">
        <x:v>0.033129489418177026</x:v>
      </x:c>
      <x:c r="H1568" s="144" t="n">
        <x:v>0.5</x:v>
      </x:c>
      <x:c r="I1568" s="137" t="str">
        <x:v>NONPOSITIVE-MODEL-MARGIN</x:v>
      </x:c>
      <x:c r="J1568" s="137" t="str">
        <x:v>V0.7-CONTROLLED-RESEARCH-SCREEN-NOT-DISTRIBUTION</x:v>
      </x:c>
    </x:row>
    <x:row r="1569" ht="22" customHeight="1">
      <x:c r="A1569" s="136" t="str">
        <x:v>SCR-1564</x:v>
      </x:c>
      <x:c r="B1569" s="143" t="n">
        <x:v>0.0000019025641025641026</x:v>
      </x:c>
      <x:c r="C1569" s="143" t="n">
        <x:v>0.004538461538461538</x:v>
      </x:c>
      <x:c r="D1569" s="161" t="n">
        <x:v>1</x:v>
      </x:c>
      <x:c r="E1569" s="163" t="n">
        <x:v>-3199.1980881202808</x:v>
      </x:c>
      <x:c r="F1569" s="163" t="n">
        <x:v>0</x:v>
      </x:c>
      <x:c r="G1569" s="145" t="n">
        <x:v>0.033419247557357125</x:v>
      </x:c>
      <x:c r="H1569" s="145" t="n">
        <x:v>0.5</x:v>
      </x:c>
      <x:c r="I1569" s="136" t="str">
        <x:v>NONPOSITIVE-MODEL-MARGIN</x:v>
      </x:c>
      <x:c r="J1569" s="136" t="str">
        <x:v>V0.7-CONTROLLED-RESEARCH-SCREEN-NOT-DISTRIBUTION</x:v>
      </x:c>
    </x:row>
    <x:row r="1570" ht="22" customHeight="1">
      <x:c r="A1570" s="137" t="str">
        <x:v>SCR-1565</x:v>
      </x:c>
      <x:c r="B1570" s="142" t="n">
        <x:v>0.0000019025641025641026</x:v>
      </x:c>
      <x:c r="C1570" s="142" t="n">
        <x:v>0.004846153846153846</x:v>
      </x:c>
      <x:c r="D1570" s="160" t="n">
        <x:v>1</x:v>
      </x:c>
      <x:c r="E1570" s="162" t="n">
        <x:v>-3216.1679926963743</x:v>
      </x:c>
      <x:c r="F1570" s="162" t="n">
        <x:v>0</x:v>
      </x:c>
      <x:c r="G1570" s="144" t="n">
        <x:v>0.03370900569653723</x:v>
      </x:c>
      <x:c r="H1570" s="144" t="n">
        <x:v>0.5</x:v>
      </x:c>
      <x:c r="I1570" s="137" t="str">
        <x:v>NONPOSITIVE-MODEL-MARGIN</x:v>
      </x:c>
      <x:c r="J1570" s="137" t="str">
        <x:v>V0.7-CONTROLLED-RESEARCH-SCREEN-NOT-DISTRIBUTION</x:v>
      </x:c>
    </x:row>
    <x:row r="1571" ht="22" customHeight="1">
      <x:c r="A1571" s="136" t="str">
        <x:v>SCR-1566</x:v>
      </x:c>
      <x:c r="B1571" s="143" t="n">
        <x:v>0.0000019025641025641026</x:v>
      </x:c>
      <x:c r="C1571" s="143" t="n">
        <x:v>0.005</x:v>
      </x:c>
      <x:c r="D1571" s="161" t="n">
        <x:v>1</x:v>
      </x:c>
      <x:c r="E1571" s="163" t="n">
        <x:v>-3224.6369449653625</x:v>
      </x:c>
      <x:c r="F1571" s="163" t="n">
        <x:v>0</x:v>
      </x:c>
      <x:c r="G1571" s="145" t="n">
        <x:v>0.03385388476612728</x:v>
      </x:c>
      <x:c r="H1571" s="145" t="n">
        <x:v>0.5</x:v>
      </x:c>
      <x:c r="I1571" s="136" t="str">
        <x:v>NONPOSITIVE-MODEL-MARGIN</x:v>
      </x:c>
      <x:c r="J1571" s="136" t="str">
        <x:v>V0.7-CONTROLLED-RESEARCH-SCREEN-NOT-DISTRIBUTION</x:v>
      </x:c>
    </x:row>
    <x:row r="1572" ht="22" customHeight="1">
      <x:c r="A1572" s="137" t="str">
        <x:v>SCR-1567</x:v>
      </x:c>
      <x:c r="B1572" s="142" t="n">
        <x:v>0.0000019025641025641026</x:v>
      </x:c>
      <x:c r="C1572" s="142" t="n">
        <x:v>0.005153846153846154</x:v>
      </x:c>
      <x:c r="D1572" s="160" t="n">
        <x:v>1</x:v>
      </x:c>
      <x:c r="E1572" s="162" t="n">
        <x:v>-3233.0952796706624</x:v>
      </x:c>
      <x:c r="F1572" s="162" t="n">
        <x:v>0</x:v>
      </x:c>
      <x:c r="G1572" s="144" t="n">
        <x:v>0.03399876383571732</x:v>
      </x:c>
      <x:c r="H1572" s="144" t="n">
        <x:v>0.5</x:v>
      </x:c>
      <x:c r="I1572" s="137" t="str">
        <x:v>NONPOSITIVE-MODEL-MARGIN</x:v>
      </x:c>
      <x:c r="J1572" s="137" t="str">
        <x:v>V0.7-CONTROLLED-RESEARCH-SCREEN-NOT-DISTRIBUTION</x:v>
      </x:c>
    </x:row>
    <x:row r="1573" ht="22" customHeight="1">
      <x:c r="A1573" s="136" t="str">
        <x:v>SCR-1568</x:v>
      </x:c>
      <x:c r="B1573" s="143" t="n">
        <x:v>0.0000019025641025641026</x:v>
      </x:c>
      <x:c r="C1573" s="143" t="n">
        <x:v>0.005461538461538462</x:v>
      </x:c>
      <x:c r="D1573" s="161" t="n">
        <x:v>1</x:v>
      </x:c>
      <x:c r="E1573" s="163" t="n">
        <x:v>-3249.9802421970635</x:v>
      </x:c>
      <x:c r="F1573" s="163" t="n">
        <x:v>0</x:v>
      </x:c>
      <x:c r="G1573" s="145" t="n">
        <x:v>0.03428852197489744</x:v>
      </x:c>
      <x:c r="H1573" s="145" t="n">
        <x:v>0.5</x:v>
      </x:c>
      <x:c r="I1573" s="136" t="str">
        <x:v>NONPOSITIVE-MODEL-MARGIN</x:v>
      </x:c>
      <x:c r="J1573" s="136" t="str">
        <x:v>V0.7-CONTROLLED-RESEARCH-SCREEN-NOT-DISTRIBUTION</x:v>
      </x:c>
    </x:row>
    <x:row r="1574" ht="22" customHeight="1">
      <x:c r="A1574" s="137" t="str">
        <x:v>SCR-1569</x:v>
      </x:c>
      <x:c r="B1574" s="142" t="n">
        <x:v>0.0000019025641025641026</x:v>
      </x:c>
      <x:c r="C1574" s="142" t="n">
        <x:v>0.0057692307692307696</x:v>
      </x:c>
      <x:c r="D1574" s="160" t="n">
        <x:v>1</x:v>
      </x:c>
      <x:c r="E1574" s="162" t="n">
        <x:v>-3266.8231693627704</x:v>
      </x:c>
      <x:c r="F1574" s="162" t="n">
        <x:v>0</x:v>
      </x:c>
      <x:c r="G1574" s="144" t="n">
        <x:v>0.034578280114077535</x:v>
      </x:c>
      <x:c r="H1574" s="144" t="n">
        <x:v>0.5</x:v>
      </x:c>
      <x:c r="I1574" s="137" t="str">
        <x:v>NONPOSITIVE-MODEL-MARGIN</x:v>
      </x:c>
      <x:c r="J1574" s="137" t="str">
        <x:v>V0.7-CONTROLLED-RESEARCH-SCREEN-NOT-DISTRIBUTION</x:v>
      </x:c>
    </x:row>
    <x:row r="1575" ht="22" customHeight="1">
      <x:c r="A1575" s="136" t="str">
        <x:v>SCR-1570</x:v>
      </x:c>
      <x:c r="B1575" s="143" t="n">
        <x:v>0.0000019025641025641026</x:v>
      </x:c>
      <x:c r="C1575" s="143" t="n">
        <x:v>0.006076923076923077</x:v>
      </x:c>
      <x:c r="D1575" s="161" t="n">
        <x:v>1</x:v>
      </x:c>
      <x:c r="E1575" s="163" t="n">
        <x:v>-3283.624346268098</x:v>
      </x:c>
      <x:c r="F1575" s="163" t="n">
        <x:v>0</x:v>
      </x:c>
      <x:c r="G1575" s="145" t="n">
        <x:v>0.034868038253257634</x:v>
      </x:c>
      <x:c r="H1575" s="145" t="n">
        <x:v>0.5</x:v>
      </x:c>
      <x:c r="I1575" s="136" t="str">
        <x:v>NONPOSITIVE-MODEL-MARGIN</x:v>
      </x:c>
      <x:c r="J1575" s="136" t="str">
        <x:v>V0.7-CONTROLLED-RESEARCH-SCREEN-NOT-DISTRIBUTION</x:v>
      </x:c>
    </x:row>
    <x:row r="1576" ht="22" customHeight="1">
      <x:c r="A1576" s="137" t="str">
        <x:v>SCR-1571</x:v>
      </x:c>
      <x:c r="B1576" s="142" t="n">
        <x:v>0.0000019025641025641026</x:v>
      </x:c>
      <x:c r="C1576" s="142" t="n">
        <x:v>0.006384615384615384</x:v>
      </x:c>
      <x:c r="D1576" s="160" t="n">
        <x:v>1</x:v>
      </x:c>
      <x:c r="E1576" s="162" t="n">
        <x:v>-3300.3840541043796</x:v>
      </x:c>
      <x:c r="F1576" s="162" t="n">
        <x:v>0</x:v>
      </x:c>
      <x:c r="G1576" s="144" t="n">
        <x:v>0.03515779639243774</x:v>
      </x:c>
      <x:c r="H1576" s="144" t="n">
        <x:v>0.5</x:v>
      </x:c>
      <x:c r="I1576" s="137" t="str">
        <x:v>NONPOSITIVE-MODEL-MARGIN</x:v>
      </x:c>
      <x:c r="J1576" s="137" t="str">
        <x:v>V0.7-CONTROLLED-RESEARCH-SCREEN-NOT-DISTRIBUTION</x:v>
      </x:c>
    </x:row>
    <x:row r="1577" ht="22" customHeight="1">
      <x:c r="A1577" s="136" t="str">
        <x:v>SCR-1572</x:v>
      </x:c>
      <x:c r="B1577" s="143" t="n">
        <x:v>0.0000019025641025641026</x:v>
      </x:c>
      <x:c r="C1577" s="143" t="n">
        <x:v>0.006692307692307693</x:v>
      </x:c>
      <x:c r="D1577" s="161" t="n">
        <x:v>1</x:v>
      </x:c>
      <x:c r="E1577" s="163" t="n">
        <x:v>-3317.102570230004</x:v>
      </x:c>
      <x:c r="F1577" s="163" t="n">
        <x:v>0</x:v>
      </x:c>
      <x:c r="G1577" s="145" t="n">
        <x:v>0.035447554531617846</x:v>
      </x:c>
      <x:c r="H1577" s="145" t="n">
        <x:v>0.5</x:v>
      </x:c>
      <x:c r="I1577" s="136" t="str">
        <x:v>NONPOSITIVE-MODEL-MARGIN</x:v>
      </x:c>
      <x:c r="J1577" s="136" t="str">
        <x:v>V0.7-CONTROLLED-RESEARCH-SCREEN-NOT-DISTRIBUTION</x:v>
      </x:c>
    </x:row>
    <x:row r="1578" ht="22" customHeight="1">
      <x:c r="A1578" s="137" t="str">
        <x:v>SCR-1573</x:v>
      </x:c>
      <x:c r="B1578" s="142" t="n">
        <x:v>0.0000019025641025641026</x:v>
      </x:c>
      <x:c r="C1578" s="142" t="n">
        <x:v>0.007</x:v>
      </x:c>
      <x:c r="D1578" s="160" t="n">
        <x:v>1</x:v>
      </x:c>
      <x:c r="E1578" s="162" t="n">
        <x:v>-3333.78016824461</x:v>
      </x:c>
      <x:c r="F1578" s="162" t="n">
        <x:v>0</x:v>
      </x:c>
      <x:c r="G1578" s="144" t="n">
        <x:v>0.035737312670797945</x:v>
      </x:c>
      <x:c r="H1578" s="144" t="n">
        <x:v>0.5</x:v>
      </x:c>
      <x:c r="I1578" s="137" t="str">
        <x:v>NONPOSITIVE-MODEL-MARGIN</x:v>
      </x:c>
      <x:c r="J1578" s="137" t="str">
        <x:v>V0.7-CONTROLLED-RESEARCH-SCREEN-NOT-DISTRIBUTION</x:v>
      </x:c>
    </x:row>
    <x:row r="1579" ht="22" customHeight="1">
      <x:c r="A1579" s="136" t="str">
        <x:v>SCR-1574</x:v>
      </x:c>
      <x:c r="B1579" s="143" t="n">
        <x:v>0.0000019025641025641026</x:v>
      </x:c>
      <x:c r="C1579" s="143" t="n">
        <x:v>0.007307692307692308</x:v>
      </x:c>
      <x:c r="D1579" s="161" t="n">
        <x:v>1</x:v>
      </x:c>
      <x:c r="E1579" s="163" t="n">
        <x:v>-3350.417118061575</x:v>
      </x:c>
      <x:c r="F1579" s="163" t="n">
        <x:v>0</x:v>
      </x:c>
      <x:c r="G1579" s="145" t="n">
        <x:v>0.036027070809978044</x:v>
      </x:c>
      <x:c r="H1579" s="145" t="n">
        <x:v>0.5</x:v>
      </x:c>
      <x:c r="I1579" s="136" t="str">
        <x:v>NONPOSITIVE-MODEL-MARGIN</x:v>
      </x:c>
      <x:c r="J1579" s="136" t="str">
        <x:v>V0.7-CONTROLLED-RESEARCH-SCREEN-NOT-DISTRIBUTION</x:v>
      </x:c>
    </x:row>
    <x:row r="1580" ht="22" customHeight="1">
      <x:c r="A1580" s="137" t="str">
        <x:v>SCR-1575</x:v>
      </x:c>
      <x:c r="B1580" s="142" t="n">
        <x:v>0.0000019025641025641026</x:v>
      </x:c>
      <x:c r="C1580" s="142" t="n">
        <x:v>0.007615384615384616</x:v>
      </x:c>
      <x:c r="D1580" s="160" t="n">
        <x:v>1</x:v>
      </x:c>
      <x:c r="E1580" s="162" t="n">
        <x:v>-3367.0136859786953</x:v>
      </x:c>
      <x:c r="F1580" s="162" t="n">
        <x:v>0</x:v>
      </x:c>
      <x:c r="G1580" s="144" t="n">
        <x:v>0.03631682894915815</x:v>
      </x:c>
      <x:c r="H1580" s="144" t="n">
        <x:v>0.5</x:v>
      </x:c>
      <x:c r="I1580" s="137" t="str">
        <x:v>NONPOSITIVE-MODEL-MARGIN</x:v>
      </x:c>
      <x:c r="J1580" s="137" t="str">
        <x:v>V0.7-CONTROLLED-RESEARCH-SCREEN-NOT-DISTRIBUTION</x:v>
      </x:c>
    </x:row>
    <x:row r="1581" ht="22" customHeight="1">
      <x:c r="A1581" s="136" t="str">
        <x:v>SCR-1576</x:v>
      </x:c>
      <x:c r="B1581" s="143" t="n">
        <x:v>0.0000019025641025641026</x:v>
      </x:c>
      <x:c r="C1581" s="143" t="n">
        <x:v>0.007923076923076923</x:v>
      </x:c>
      <x:c r="D1581" s="161" t="n">
        <x:v>1</x:v>
      </x:c>
      <x:c r="E1581" s="163" t="n">
        <x:v>-3383.5701347472423</x:v>
      </x:c>
      <x:c r="F1581" s="163" t="n">
        <x:v>0</x:v>
      </x:c>
      <x:c r="G1581" s="145" t="n">
        <x:v>0.03660658708833824</x:v>
      </x:c>
      <x:c r="H1581" s="145" t="n">
        <x:v>0.5</x:v>
      </x:c>
      <x:c r="I1581" s="136" t="str">
        <x:v>NONPOSITIVE-MODEL-MARGIN</x:v>
      </x:c>
      <x:c r="J1581" s="136" t="str">
        <x:v>V0.7-CONTROLLED-RESEARCH-SCREEN-NOT-DISTRIBUTION</x:v>
      </x:c>
    </x:row>
    <x:row r="1582" ht="22" customHeight="1">
      <x:c r="A1582" s="137" t="str">
        <x:v>SCR-1577</x:v>
      </x:c>
      <x:c r="B1582" s="142" t="n">
        <x:v>0.0000019025641025641026</x:v>
      </x:c>
      <x:c r="C1582" s="142" t="n">
        <x:v>0.00823076923076923</x:v>
      </x:c>
      <x:c r="D1582" s="160" t="n">
        <x:v>1</x:v>
      </x:c>
      <x:c r="E1582" s="162" t="n">
        <x:v>-3400.086723639385</x:v>
      </x:c>
      <x:c r="F1582" s="162" t="n">
        <x:v>0</x:v>
      </x:c>
      <x:c r="G1582" s="144" t="n">
        <x:v>0.03689634522751834</x:v>
      </x:c>
      <x:c r="H1582" s="144" t="n">
        <x:v>0.5</x:v>
      </x:c>
      <x:c r="I1582" s="137" t="str">
        <x:v>NONPOSITIVE-MODEL-MARGIN</x:v>
      </x:c>
      <x:c r="J1582" s="137" t="str">
        <x:v>V0.7-CONTROLLED-RESEARCH-SCREEN-NOT-DISTRIBUTION</x:v>
      </x:c>
    </x:row>
    <x:row r="1583" ht="22" customHeight="1">
      <x:c r="A1583" s="136" t="str">
        <x:v>SCR-1578</x:v>
      </x:c>
      <x:c r="B1583" s="143" t="n">
        <x:v>0.0000019025641025641026</x:v>
      </x:c>
      <x:c r="C1583" s="143" t="n">
        <x:v>0.00853846153846154</x:v>
      </x:c>
      <x:c r="D1583" s="161" t="n">
        <x:v>1</x:v>
      </x:c>
      <x:c r="E1583" s="163" t="n">
        <x:v>-3416.5637085139774</x:v>
      </x:c>
      <x:c r="F1583" s="163" t="n">
        <x:v>0</x:v>
      </x:c>
      <x:c r="G1583" s="145" t="n">
        <x:v>0.037186103366698454</x:v>
      </x:c>
      <x:c r="H1583" s="145" t="n">
        <x:v>0.5</x:v>
      </x:c>
      <x:c r="I1583" s="136" t="str">
        <x:v>NONPOSITIVE-MODEL-MARGIN</x:v>
      </x:c>
      <x:c r="J1583" s="136" t="str">
        <x:v>V0.7-CONTROLLED-RESEARCH-SCREEN-NOT-DISTRIBUTION</x:v>
      </x:c>
    </x:row>
    <x:row r="1584" ht="22" customHeight="1">
      <x:c r="A1584" s="137" t="str">
        <x:v>SCR-1579</x:v>
      </x:c>
      <x:c r="B1584" s="142" t="n">
        <x:v>0.0000019025641025641026</x:v>
      </x:c>
      <x:c r="C1584" s="142" t="n">
        <x:v>0.008846153846153847</x:v>
      </x:c>
      <x:c r="D1584" s="160" t="n">
        <x:v>1</x:v>
      </x:c>
      <x:c r="E1584" s="162" t="n">
        <x:v>-3433.0013418808157</x:v>
      </x:c>
      <x:c r="F1584" s="162" t="n">
        <x:v>0</x:v>
      </x:c>
      <x:c r="G1584" s="144" t="n">
        <x:v>0.03747586150587855</x:v>
      </x:c>
      <x:c r="H1584" s="144" t="n">
        <x:v>0.5</x:v>
      </x:c>
      <x:c r="I1584" s="137" t="str">
        <x:v>NONPOSITIVE-MODEL-MARGIN</x:v>
      </x:c>
      <x:c r="J1584" s="137" t="str">
        <x:v>V0.7-CONTROLLED-RESEARCH-SCREEN-NOT-DISTRIBUTION</x:v>
      </x:c>
    </x:row>
    <x:row r="1585" ht="22" customHeight="1">
      <x:c r="A1585" s="136" t="str">
        <x:v>SCR-1580</x:v>
      </x:c>
      <x:c r="B1585" s="143" t="n">
        <x:v>0.0000019025641025641026</x:v>
      </x:c>
      <x:c r="C1585" s="143" t="n">
        <x:v>0.009153846153846155</x:v>
      </x:c>
      <x:c r="D1585" s="161" t="n">
        <x:v>1</x:v>
      </x:c>
      <x:c r="E1585" s="163" t="n">
        <x:v>-3449.399872963399</x:v>
      </x:c>
      <x:c r="F1585" s="163" t="n">
        <x:v>0</x:v>
      </x:c>
      <x:c r="G1585" s="145" t="n">
        <x:v>0.037765619645058646</x:v>
      </x:c>
      <x:c r="H1585" s="145" t="n">
        <x:v>0.5</x:v>
      </x:c>
      <x:c r="I1585" s="136" t="str">
        <x:v>NONPOSITIVE-MODEL-MARGIN</x:v>
      </x:c>
      <x:c r="J1585" s="136" t="str">
        <x:v>V0.7-CONTROLLED-RESEARCH-SCREEN-NOT-DISTRIBUTION</x:v>
      </x:c>
    </x:row>
    <x:row r="1586" ht="22" customHeight="1">
      <x:c r="A1586" s="137" t="str">
        <x:v>SCR-1581</x:v>
      </x:c>
      <x:c r="B1586" s="142" t="n">
        <x:v>0.0000019025641025641026</x:v>
      </x:c>
      <x:c r="C1586" s="142" t="n">
        <x:v>0.009461538461538462</x:v>
      </x:c>
      <x:c r="D1586" s="160" t="n">
        <x:v>1</x:v>
      </x:c>
      <x:c r="E1586" s="162" t="n">
        <x:v>-3465.7595477602126</x:v>
      </x:c>
      <x:c r="F1586" s="162" t="n">
        <x:v>0</x:v>
      </x:c>
      <x:c r="G1586" s="144" t="n">
        <x:v>0.03805537778423876</x:v>
      </x:c>
      <x:c r="H1586" s="144" t="n">
        <x:v>0.5</x:v>
      </x:c>
      <x:c r="I1586" s="137" t="str">
        <x:v>NONPOSITIVE-MODEL-MARGIN</x:v>
      </x:c>
      <x:c r="J1586" s="137" t="str">
        <x:v>V0.7-CONTROLLED-RESEARCH-SCREEN-NOT-DISTRIBUTION</x:v>
      </x:c>
    </x:row>
    <x:row r="1587" ht="22" customHeight="1">
      <x:c r="A1587" s="136" t="str">
        <x:v>SCR-1582</x:v>
      </x:c>
      <x:c r="B1587" s="143" t="n">
        <x:v>0.0000019025641025641026</x:v>
      </x:c>
      <x:c r="C1587" s="143" t="n">
        <x:v>0.00976923076923077</x:v>
      </x:c>
      <x:c r="D1587" s="161" t="n">
        <x:v>1</x:v>
      </x:c>
      <x:c r="E1587" s="163" t="n">
        <x:v>-3482.080609104547</x:v>
      </x:c>
      <x:c r="F1587" s="163" t="n">
        <x:v>0</x:v>
      </x:c>
      <x:c r="G1587" s="145" t="n">
        <x:v>0.03834513592341886</x:v>
      </x:c>
      <x:c r="H1587" s="145" t="n">
        <x:v>0.5</x:v>
      </x:c>
      <x:c r="I1587" s="136" t="str">
        <x:v>NONPOSITIVE-MODEL-MARGIN</x:v>
      </x:c>
      <x:c r="J1587" s="136" t="str">
        <x:v>V0.7-CONTROLLED-RESEARCH-SCREEN-NOT-DISTRIBUTION</x:v>
      </x:c>
    </x:row>
    <x:row r="1588" ht="22" customHeight="1">
      <x:c r="A1588" s="137" t="str">
        <x:v>SCR-1583</x:v>
      </x:c>
      <x:c r="B1588" s="142" t="n">
        <x:v>0.0000019025641025641026</x:v>
      </x:c>
      <x:c r="C1588" s="142" t="n">
        <x:v>0.010076923076923077</x:v>
      </x:c>
      <x:c r="D1588" s="160" t="n">
        <x:v>1</x:v>
      </x:c>
      <x:c r="E1588" s="162" t="n">
        <x:v>-3498.363296722963</x:v>
      </x:c>
      <x:c r="F1588" s="162" t="n">
        <x:v>0</x:v>
      </x:c>
      <x:c r="G1588" s="144" t="n">
        <x:v>0.038634894062598964</x:v>
      </x:c>
      <x:c r="H1588" s="144" t="n">
        <x:v>0.5</x:v>
      </x:c>
      <x:c r="I1588" s="137" t="str">
        <x:v>NONPOSITIVE-MODEL-MARGIN</x:v>
      </x:c>
      <x:c r="J1588" s="137" t="str">
        <x:v>V0.7-CONTROLLED-RESEARCH-SCREEN-NOT-DISTRIBUTION</x:v>
      </x:c>
    </x:row>
    <x:row r="1589" ht="22" customHeight="1">
      <x:c r="A1589" s="136" t="str">
        <x:v>SCR-1584</x:v>
      </x:c>
      <x:c r="B1589" s="143" t="n">
        <x:v>0.0000019025641025641026</x:v>
      </x:c>
      <x:c r="C1589" s="143" t="n">
        <x:v>0.010384615384615384</x:v>
      </x:c>
      <x:c r="D1589" s="161" t="n">
        <x:v>1</x:v>
      </x:c>
      <x:c r="E1589" s="163" t="n">
        <x:v>-3511.4014222634682</x:v>
      </x:c>
      <x:c r="F1589" s="163" t="n">
        <x:v>0</x:v>
      </x:c>
      <x:c r="G1589" s="145" t="n">
        <x:v>0.03892465220177906</x:v>
      </x:c>
      <x:c r="H1589" s="145" t="n">
        <x:v>0.5</x:v>
      </x:c>
      <x:c r="I1589" s="136" t="str">
        <x:v>NONPOSITIVE-MODEL-MARGIN</x:v>
      </x:c>
      <x:c r="J1589" s="136" t="str">
        <x:v>V0.7-CONTROLLED-RESEARCH-SCREEN-NOT-DISTRIBUTION</x:v>
      </x:c>
    </x:row>
    <x:row r="1590" ht="22" customHeight="1">
      <x:c r="A1590" s="137" t="str">
        <x:v>SCR-1585</x:v>
      </x:c>
      <x:c r="B1590" s="142" t="n">
        <x:v>0.0000019025641025641026</x:v>
      </x:c>
      <x:c r="C1590" s="142" t="n">
        <x:v>0.010692307692307692</x:v>
      </x:c>
      <x:c r="D1590" s="160" t="n">
        <x:v>1</x:v>
      </x:c>
      <x:c r="E1590" s="162" t="n">
        <x:v>-3527.615787513492</x:v>
      </x:c>
      <x:c r="F1590" s="162" t="n">
        <x:v>0</x:v>
      </x:c>
      <x:c r="G1590" s="144" t="n">
        <x:v>0.03921441034095917</x:v>
      </x:c>
      <x:c r="H1590" s="144" t="n">
        <x:v>0.5</x:v>
      </x:c>
      <x:c r="I1590" s="137" t="str">
        <x:v>NONPOSITIVE-MODEL-MARGIN</x:v>
      </x:c>
      <x:c r="J1590" s="137" t="str">
        <x:v>V0.7-CONTROLLED-RESEARCH-SCREEN-NOT-DISTRIBUTION</x:v>
      </x:c>
    </x:row>
    <x:row r="1591" ht="22" customHeight="1">
      <x:c r="A1591" s="136" t="str">
        <x:v>SCR-1586</x:v>
      </x:c>
      <x:c r="B1591" s="143" t="n">
        <x:v>0.0000019025641025641026</x:v>
      </x:c>
      <x:c r="C1591" s="143" t="n">
        <x:v>0.011</x:v>
      </x:c>
      <x:c r="D1591" s="161" t="n">
        <x:v>1</x:v>
      </x:c>
      <x:c r="E1591" s="163" t="n">
        <x:v>-3543.792425632321</x:v>
      </x:c>
      <x:c r="F1591" s="163" t="n">
        <x:v>0</x:v>
      </x:c>
      <x:c r="G1591" s="145" t="n">
        <x:v>0.03950416848013927</x:v>
      </x:c>
      <x:c r="H1591" s="145" t="n">
        <x:v>0.5</x:v>
      </x:c>
      <x:c r="I1591" s="136" t="str">
        <x:v>NONPOSITIVE-MODEL-MARGIN</x:v>
      </x:c>
      <x:c r="J1591" s="136" t="str">
        <x:v>V0.7-CONTROLLED-RESEARCH-SCREEN-NOT-DISTRIBUTION</x:v>
      </x:c>
    </x:row>
    <x:row r="1592" ht="22" customHeight="1">
      <x:c r="A1592" s="137" t="str">
        <x:v>SCR-1587</x:v>
      </x:c>
      <x:c r="B1592" s="142" t="n">
        <x:v>0.0000019025641025641026</x:v>
      </x:c>
      <x:c r="C1592" s="142" t="n">
        <x:v>0.011307692307692307</x:v>
      </x:c>
      <x:c r="D1592" s="160" t="n">
        <x:v>1</x:v>
      </x:c>
      <x:c r="E1592" s="162" t="n">
        <x:v>-3559.9315652755768</x:v>
      </x:c>
      <x:c r="F1592" s="162" t="n">
        <x:v>0</x:v>
      </x:c>
      <x:c r="G1592" s="144" t="n">
        <x:v>0.039793926619319374</x:v>
      </x:c>
      <x:c r="H1592" s="144" t="n">
        <x:v>0.5</x:v>
      </x:c>
      <x:c r="I1592" s="137" t="str">
        <x:v>NONPOSITIVE-MODEL-MARGIN</x:v>
      </x:c>
      <x:c r="J1592" s="137" t="str">
        <x:v>V0.7-CONTROLLED-RESEARCH-SCREEN-NOT-DISTRIBUTION</x:v>
      </x:c>
    </x:row>
    <x:row r="1593" ht="22" customHeight="1">
      <x:c r="A1593" s="136" t="str">
        <x:v>SCR-1588</x:v>
      </x:c>
      <x:c r="B1593" s="143" t="n">
        <x:v>0.0000019025641025641026</x:v>
      </x:c>
      <x:c r="C1593" s="143" t="n">
        <x:v>0.011615384615384614</x:v>
      </x:c>
      <x:c r="D1593" s="161" t="n">
        <x:v>1</x:v>
      </x:c>
      <x:c r="E1593" s="163" t="n">
        <x:v>-3576.033432247382</x:v>
      </x:c>
      <x:c r="F1593" s="163" t="n">
        <x:v>0</x:v>
      </x:c>
      <x:c r="G1593" s="145" t="n">
        <x:v>0.040083684758499466</x:v>
      </x:c>
      <x:c r="H1593" s="145" t="n">
        <x:v>0.5</x:v>
      </x:c>
      <x:c r="I1593" s="136" t="str">
        <x:v>NONPOSITIVE-MODEL-MARGIN</x:v>
      </x:c>
      <x:c r="J1593" s="136" t="str">
        <x:v>V0.7-CONTROLLED-RESEARCH-SCREEN-NOT-DISTRIBUTION</x:v>
      </x:c>
    </x:row>
    <x:row r="1594" ht="22" customHeight="1">
      <x:c r="A1594" s="137" t="str">
        <x:v>SCR-1589</x:v>
      </x:c>
      <x:c r="B1594" s="142" t="n">
        <x:v>0.0000019025641025641026</x:v>
      </x:c>
      <x:c r="C1594" s="142" t="n">
        <x:v>0.011923076923076925</x:v>
      </x:c>
      <x:c r="D1594" s="160" t="n">
        <x:v>1</x:v>
      </x:c>
      <x:c r="E1594" s="162" t="n">
        <x:v>-3592.098249551652</x:v>
      </x:c>
      <x:c r="F1594" s="162" t="n">
        <x:v>0</x:v>
      </x:c>
      <x:c r="G1594" s="144" t="n">
        <x:v>0.040373442897679586</x:v>
      </x:c>
      <x:c r="H1594" s="144" t="n">
        <x:v>0.5</x:v>
      </x:c>
      <x:c r="I1594" s="137" t="str">
        <x:v>NONPOSITIVE-MODEL-MARGIN</x:v>
      </x:c>
      <x:c r="J1594" s="137" t="str">
        <x:v>V0.7-CONTROLLED-RESEARCH-SCREEN-NOT-DISTRIBUTION</x:v>
      </x:c>
    </x:row>
    <x:row r="1595" ht="22" customHeight="1">
      <x:c r="A1595" s="136" t="str">
        <x:v>SCR-1590</x:v>
      </x:c>
      <x:c r="B1595" s="143" t="n">
        <x:v>0.0000019025641025641026</x:v>
      </x:c>
      <x:c r="C1595" s="143" t="n">
        <x:v>0.012230769230769233</x:v>
      </x:c>
      <x:c r="D1595" s="161" t="n">
        <x:v>1</x:v>
      </x:c>
      <x:c r="E1595" s="163" t="n">
        <x:v>-3608.1262374422763</x:v>
      </x:c>
      <x:c r="F1595" s="163" t="n">
        <x:v>0</x:v>
      </x:c>
      <x:c r="G1595" s="145" t="n">
        <x:v>0.04066320103685968</x:v>
      </x:c>
      <x:c r="H1595" s="145" t="n">
        <x:v>0.5</x:v>
      </x:c>
      <x:c r="I1595" s="136" t="str">
        <x:v>NONPOSITIVE-MODEL-MARGIN</x:v>
      </x:c>
      <x:c r="J1595" s="136" t="str">
        <x:v>V0.7-CONTROLLED-RESEARCH-SCREEN-NOT-DISTRIBUTION</x:v>
      </x:c>
    </x:row>
    <x:row r="1596" ht="22" customHeight="1">
      <x:c r="A1596" s="137" t="str">
        <x:v>SCR-1591</x:v>
      </x:c>
      <x:c r="B1596" s="142" t="n">
        <x:v>0.0000019025641025641026</x:v>
      </x:c>
      <x:c r="C1596" s="142" t="n">
        <x:v>0.01253846153846154</x:v>
      </x:c>
      <x:c r="D1596" s="160" t="n">
        <x:v>1</x:v>
      </x:c>
      <x:c r="E1596" s="162" t="n">
        <x:v>-3624.117613472119</x:v>
      </x:c>
      <x:c r="F1596" s="162" t="n">
        <x:v>0</x:v>
      </x:c>
      <x:c r="G1596" s="144" t="n">
        <x:v>0.04095295917603977</x:v>
      </x:c>
      <x:c r="H1596" s="144" t="n">
        <x:v>0.5</x:v>
      </x:c>
      <x:c r="I1596" s="137" t="str">
        <x:v>NONPOSITIVE-MODEL-MARGIN</x:v>
      </x:c>
      <x:c r="J1596" s="137" t="str">
        <x:v>V0.7-CONTROLLED-RESEARCH-SCREEN-NOT-DISTRIBUTION</x:v>
      </x:c>
    </x:row>
    <x:row r="1597" ht="22" customHeight="1">
      <x:c r="A1597" s="136" t="str">
        <x:v>SCR-1592</x:v>
      </x:c>
      <x:c r="B1597" s="143" t="n">
        <x:v>0.0000019025641025641026</x:v>
      </x:c>
      <x:c r="C1597" s="143" t="n">
        <x:v>0.012846153846153847</x:v>
      </x:c>
      <x:c r="D1597" s="161" t="n">
        <x:v>1</x:v>
      </x:c>
      <x:c r="E1597" s="163" t="n">
        <x:v>-3640.0725925408983</x:v>
      </x:c>
      <x:c r="F1597" s="163" t="n">
        <x:v>0</x:v>
      </x:c>
      <x:c r="G1597" s="145" t="n">
        <x:v>0.04124271731521988</x:v>
      </x:c>
      <x:c r="H1597" s="145" t="n">
        <x:v>0.5</x:v>
      </x:c>
      <x:c r="I1597" s="136" t="str">
        <x:v>NONPOSITIVE-MODEL-MARGIN</x:v>
      </x:c>
      <x:c r="J1597" s="136" t="str">
        <x:v>V0.7-CONTROLLED-RESEARCH-SCREEN-NOT-DISTRIBUTION</x:v>
      </x:c>
    </x:row>
    <x:row r="1598" ht="22" customHeight="1">
      <x:c r="A1598" s="137" t="str">
        <x:v>SCR-1593</x:v>
      </x:c>
      <x:c r="B1598" s="142" t="n">
        <x:v>0.0000019025641025641026</x:v>
      </x:c>
      <x:c r="C1598" s="142" t="n">
        <x:v>0.013153846153846155</x:v>
      </x:c>
      <x:c r="D1598" s="160" t="n">
        <x:v>1</x:v>
      </x:c>
      <x:c r="E1598" s="162" t="n">
        <x:v>-3655.9913869420056</x:v>
      </x:c>
      <x:c r="F1598" s="162" t="n">
        <x:v>0</x:v>
      </x:c>
      <x:c r="G1598" s="144" t="n">
        <x:v>0.04153247545439998</x:v>
      </x:c>
      <x:c r="H1598" s="144" t="n">
        <x:v>0.5</x:v>
      </x:c>
      <x:c r="I1598" s="137" t="str">
        <x:v>NONPOSITIVE-MODEL-MARGIN</x:v>
      </x:c>
      <x:c r="J1598" s="137" t="str">
        <x:v>V0.7-CONTROLLED-RESEARCH-SCREEN-NOT-DISTRIBUTION</x:v>
      </x:c>
    </x:row>
    <x:row r="1599" ht="22" customHeight="1">
      <x:c r="A1599" s="136" t="str">
        <x:v>SCR-1594</x:v>
      </x:c>
      <x:c r="B1599" s="143" t="n">
        <x:v>0.0000019025641025641026</x:v>
      </x:c>
      <x:c r="C1599" s="143" t="n">
        <x:v>0.013461538461538462</x:v>
      </x:c>
      <x:c r="D1599" s="161" t="n">
        <x:v>1</x:v>
      </x:c>
      <x:c r="E1599" s="163" t="n">
        <x:v>-3671.87420640829</x:v>
      </x:c>
      <x:c r="F1599" s="163" t="n">
        <x:v>0</x:v>
      </x:c>
      <x:c r="G1599" s="145" t="n">
        <x:v>0.04182223359358009</x:v>
      </x:c>
      <x:c r="H1599" s="145" t="n">
        <x:v>0.5</x:v>
      </x:c>
      <x:c r="I1599" s="136" t="str">
        <x:v>NONPOSITIVE-MODEL-MARGIN</x:v>
      </x:c>
      <x:c r="J1599" s="136" t="str">
        <x:v>V0.7-CONTROLLED-RESEARCH-SCREEN-NOT-DISTRIBUTION</x:v>
      </x:c>
    </x:row>
    <x:row r="1600" ht="22" customHeight="1">
      <x:c r="A1600" s="137" t="str">
        <x:v>SCR-1595</x:v>
      </x:c>
      <x:c r="B1600" s="142" t="n">
        <x:v>0.0000019025641025641026</x:v>
      </x:c>
      <x:c r="C1600" s="142" t="n">
        <x:v>0.01376923076923077</x:v>
      </x:c>
      <x:c r="D1600" s="160" t="n">
        <x:v>1</x:v>
      </x:c>
      <x:c r="E1600" s="162" t="n">
        <x:v>-3687.7212581567455</x:v>
      </x:c>
      <x:c r="F1600" s="162" t="n">
        <x:v>0</x:v>
      </x:c>
      <x:c r="G1600" s="144" t="n">
        <x:v>0.04211199173276019</x:v>
      </x:c>
      <x:c r="H1600" s="144" t="n">
        <x:v>0.5</x:v>
      </x:c>
      <x:c r="I1600" s="137" t="str">
        <x:v>NONPOSITIVE-MODEL-MARGIN</x:v>
      </x:c>
      <x:c r="J1600" s="137" t="str">
        <x:v>V0.7-CONTROLLED-RESEARCH-SCREEN-NOT-DISTRIBUTION</x:v>
      </x:c>
    </x:row>
    <x:row r="1601" ht="22" customHeight="1">
      <x:c r="A1601" s="136" t="str">
        <x:v>SCR-1596</x:v>
      </x:c>
      <x:c r="B1601" s="143" t="n">
        <x:v>0.0000019025641025641026</x:v>
      </x:c>
      <x:c r="C1601" s="143" t="n">
        <x:v>0.014076923076923077</x:v>
      </x:c>
      <x:c r="D1601" s="161" t="n">
        <x:v>1</x:v>
      </x:c>
      <x:c r="E1601" s="163" t="n">
        <x:v>-3700.4155082373322</x:v>
      </x:c>
      <x:c r="F1601" s="163" t="n">
        <x:v>0</x:v>
      </x:c>
      <x:c r="G1601" s="145" t="n">
        <x:v>0.042401749871940286</x:v>
      </x:c>
      <x:c r="H1601" s="145" t="n">
        <x:v>0.5</x:v>
      </x:c>
      <x:c r="I1601" s="136" t="str">
        <x:v>NONPOSITIVE-MODEL-MARGIN</x:v>
      </x:c>
      <x:c r="J1601" s="136" t="str">
        <x:v>V0.7-CONTROLLED-RESEARCH-SCREEN-NOT-DISTRIBUTION</x:v>
      </x:c>
    </x:row>
    <x:row r="1602" ht="22" customHeight="1">
      <x:c r="A1602" s="137" t="str">
        <x:v>SCR-1597</x:v>
      </x:c>
      <x:c r="B1602" s="142" t="n">
        <x:v>0.0000019025641025641026</x:v>
      </x:c>
      <x:c r="C1602" s="142" t="n">
        <x:v>0.014384615384615385</x:v>
      </x:c>
      <x:c r="D1602" s="160" t="n">
        <x:v>1</x:v>
      </x:c>
      <x:c r="E1602" s="162" t="n">
        <x:v>-3716.1987493825886</x:v>
      </x:c>
      <x:c r="F1602" s="162" t="n">
        <x:v>0</x:v>
      </x:c>
      <x:c r="G1602" s="144" t="n">
        <x:v>0.042691508011120385</x:v>
      </x:c>
      <x:c r="H1602" s="144" t="n">
        <x:v>0.5</x:v>
      </x:c>
      <x:c r="I1602" s="137" t="str">
        <x:v>NONPOSITIVE-MODEL-MARGIN</x:v>
      </x:c>
      <x:c r="J1602" s="137" t="str">
        <x:v>V0.7-CONTROLLED-RESEARCH-SCREEN-NOT-DISTRIBUTION</x:v>
      </x:c>
    </x:row>
    <x:row r="1603" ht="22" customHeight="1">
      <x:c r="A1603" s="136" t="str">
        <x:v>SCR-1598</x:v>
      </x:c>
      <x:c r="B1603" s="143" t="n">
        <x:v>0.0000019025641025641026</x:v>
      </x:c>
      <x:c r="C1603" s="143" t="n">
        <x:v>0.014692307692307692</x:v>
      </x:c>
      <x:c r="D1603" s="161" t="n">
        <x:v>1</x:v>
      </x:c>
      <x:c r="E1603" s="163" t="n">
        <x:v>-3731.9467838222454</x:v>
      </x:c>
      <x:c r="F1603" s="163" t="n">
        <x:v>0</x:v>
      </x:c>
      <x:c r="G1603" s="145" t="n">
        <x:v>0.042981266150300484</x:v>
      </x:c>
      <x:c r="H1603" s="145" t="n">
        <x:v>0.5</x:v>
      </x:c>
      <x:c r="I1603" s="136" t="str">
        <x:v>NONPOSITIVE-MODEL-MARGIN</x:v>
      </x:c>
      <x:c r="J1603" s="136" t="str">
        <x:v>V0.7-CONTROLLED-RESEARCH-SCREEN-NOT-DISTRIBUTION</x:v>
      </x:c>
    </x:row>
    <x:row r="1604" ht="22" customHeight="1">
      <x:c r="A1604" s="137" t="str">
        <x:v>SCR-1599</x:v>
      </x:c>
      <x:c r="B1604" s="142" t="n">
        <x:v>0.0000019025641025641026</x:v>
      </x:c>
      <x:c r="C1604" s="142" t="n">
        <x:v>0.015</x:v>
      </x:c>
      <x:c r="D1604" s="160" t="n">
        <x:v>1</x:v>
      </x:c>
      <x:c r="E1604" s="162" t="n">
        <x:v>-3747.6598097567976</x:v>
      </x:c>
      <x:c r="F1604" s="162" t="n">
        <x:v>0</x:v>
      </x:c>
      <x:c r="G1604" s="144" t="n">
        <x:v>0.0432710242894806</x:v>
      </x:c>
      <x:c r="H1604" s="144" t="n">
        <x:v>0.5</x:v>
      </x:c>
      <x:c r="I1604" s="137" t="str">
        <x:v>NONPOSITIVE-MODEL-MARGIN</x:v>
      </x:c>
      <x:c r="J1604" s="137" t="str">
        <x:v>V0.7-CONTROLLED-RESEARCH-SCREEN-NOT-DISTRIBUTION</x:v>
      </x:c>
    </x:row>
    <x:row r="1605" ht="22" customHeight="1">
      <x:c r="A1605" s="136" t="str">
        <x:v>SCR-1600</x:v>
      </x:c>
      <x:c r="B1605" s="143" t="n">
        <x:v>0.000001951282051282051</x:v>
      </x:c>
      <x:c r="C1605" s="143" t="n">
        <x:v>0.003</x:v>
      </x:c>
      <x:c r="D1605" s="161" t="n">
        <x:v>1</x:v>
      </x:c>
      <x:c r="E1605" s="163" t="n">
        <x:v>-3160.973503210559</x:v>
      </x:c>
      <x:c r="F1605" s="163" t="n">
        <x:v>0</x:v>
      </x:c>
      <x:c r="G1605" s="145" t="n">
        <x:v>0.032656743722983946</x:v>
      </x:c>
      <x:c r="H1605" s="145" t="n">
        <x:v>0.5</x:v>
      </x:c>
      <x:c r="I1605" s="136" t="str">
        <x:v>NONPOSITIVE-MODEL-MARGIN</x:v>
      </x:c>
      <x:c r="J1605" s="136" t="str">
        <x:v>V0.7-CONTROLLED-RESEARCH-SCREEN-NOT-DISTRIBUTION</x:v>
      </x:c>
    </x:row>
    <x:row r="1606" ht="22" customHeight="1">
      <x:c r="A1606" s="137" t="str">
        <x:v>SCR-1601</x:v>
      </x:c>
      <x:c r="B1606" s="142" t="n">
        <x:v>0.000001951282051282051</x:v>
      </x:c>
      <x:c r="C1606" s="142" t="n">
        <x:v>0.003307692307692308</x:v>
      </x:c>
      <x:c r="D1606" s="160" t="n">
        <x:v>1</x:v>
      </x:c>
      <x:c r="E1606" s="162" t="n">
        <x:v>-3178.050760050947</x:v>
      </x:c>
      <x:c r="F1606" s="162" t="n">
        <x:v>0</x:v>
      </x:c>
      <x:c r="G1606" s="144" t="n">
        <x:v>0.032946077009244894</x:v>
      </x:c>
      <x:c r="H1606" s="144" t="n">
        <x:v>0.5</x:v>
      </x:c>
      <x:c r="I1606" s="137" t="str">
        <x:v>NONPOSITIVE-MODEL-MARGIN</x:v>
      </x:c>
      <x:c r="J1606" s="137" t="str">
        <x:v>V0.7-CONTROLLED-RESEARCH-SCREEN-NOT-DISTRIBUTION</x:v>
      </x:c>
    </x:row>
    <x:row r="1607" ht="22" customHeight="1">
      <x:c r="A1607" s="136" t="str">
        <x:v>SCR-1602</x:v>
      </x:c>
      <x:c r="B1607" s="143" t="n">
        <x:v>0.000001951282051282051</x:v>
      </x:c>
      <x:c r="C1607" s="143" t="n">
        <x:v>0.0036153846153846154</x:v>
      </x:c>
      <x:c r="D1607" s="161" t="n">
        <x:v>1</x:v>
      </x:c>
      <x:c r="E1607" s="163" t="n">
        <x:v>-3191.714384750882</x:v>
      </x:c>
      <x:c r="F1607" s="163" t="n">
        <x:v>0</x:v>
      </x:c>
      <x:c r="G1607" s="145" t="n">
        <x:v>0.033235410295505856</x:v>
      </x:c>
      <x:c r="H1607" s="145" t="n">
        <x:v>0.5</x:v>
      </x:c>
      <x:c r="I1607" s="136" t="str">
        <x:v>NONPOSITIVE-MODEL-MARGIN</x:v>
      </x:c>
      <x:c r="J1607" s="136" t="str">
        <x:v>V0.7-CONTROLLED-RESEARCH-SCREEN-NOT-DISTRIBUTION</x:v>
      </x:c>
    </x:row>
    <x:row r="1608" ht="22" customHeight="1">
      <x:c r="A1608" s="137" t="str">
        <x:v>SCR-1603</x:v>
      </x:c>
      <x:c r="B1608" s="142" t="n">
        <x:v>0.000001951282051282051</x:v>
      </x:c>
      <x:c r="C1608" s="142" t="n">
        <x:v>0.003923076923076923</x:v>
      </x:c>
      <x:c r="D1608" s="160" t="n">
        <x:v>1</x:v>
      </x:c>
      <x:c r="E1608" s="162" t="n">
        <x:v>-3208.714325262923</x:v>
      </x:c>
      <x:c r="F1608" s="162" t="n">
        <x:v>0</x:v>
      </x:c>
      <x:c r="G1608" s="144" t="n">
        <x:v>0.0335247435817668</x:v>
      </x:c>
      <x:c r="H1608" s="144" t="n">
        <x:v>0.5</x:v>
      </x:c>
      <x:c r="I1608" s="137" t="str">
        <x:v>NONPOSITIVE-MODEL-MARGIN</x:v>
      </x:c>
      <x:c r="J1608" s="137" t="str">
        <x:v>V0.7-CONTROLLED-RESEARCH-SCREEN-NOT-DISTRIBUTION</x:v>
      </x:c>
    </x:row>
    <x:row r="1609" ht="22" customHeight="1">
      <x:c r="A1609" s="136" t="str">
        <x:v>SCR-1604</x:v>
      </x:c>
      <x:c r="B1609" s="143" t="n">
        <x:v>0.000001951282051282051</x:v>
      </x:c>
      <x:c r="C1609" s="143" t="n">
        <x:v>0.004230769230769231</x:v>
      </x:c>
      <x:c r="D1609" s="161" t="n">
        <x:v>1</x:v>
      </x:c>
      <x:c r="E1609" s="163" t="n">
        <x:v>-3225.671499035185</x:v>
      </x:c>
      <x:c r="F1609" s="163" t="n">
        <x:v>0</x:v>
      </x:c>
      <x:c r="G1609" s="145" t="n">
        <x:v>0.033814076868027745</x:v>
      </x:c>
      <x:c r="H1609" s="145" t="n">
        <x:v>0.5</x:v>
      </x:c>
      <x:c r="I1609" s="136" t="str">
        <x:v>NONPOSITIVE-MODEL-MARGIN</x:v>
      </x:c>
      <x:c r="J1609" s="136" t="str">
        <x:v>V0.7-CONTROLLED-RESEARCH-SCREEN-NOT-DISTRIBUTION</x:v>
      </x:c>
    </x:row>
    <x:row r="1610" ht="22" customHeight="1">
      <x:c r="A1610" s="137" t="str">
        <x:v>SCR-1605</x:v>
      </x:c>
      <x:c r="B1610" s="142" t="n">
        <x:v>0.000001951282051282051</x:v>
      </x:c>
      <x:c r="C1610" s="142" t="n">
        <x:v>0.004538461538461538</x:v>
      </x:c>
      <x:c r="D1610" s="160" t="n">
        <x:v>1</x:v>
      </x:c>
      <x:c r="E1610" s="162" t="n">
        <x:v>-3242.586201384365</x:v>
      </x:c>
      <x:c r="F1610" s="162" t="n">
        <x:v>0</x:v>
      </x:c>
      <x:c r="G1610" s="144" t="n">
        <x:v>0.0341034101542887</x:v>
      </x:c>
      <x:c r="H1610" s="144" t="n">
        <x:v>0.5</x:v>
      </x:c>
      <x:c r="I1610" s="137" t="str">
        <x:v>NONPOSITIVE-MODEL-MARGIN</x:v>
      </x:c>
      <x:c r="J1610" s="137" t="str">
        <x:v>V0.7-CONTROLLED-RESEARCH-SCREEN-NOT-DISTRIBUTION</x:v>
      </x:c>
    </x:row>
    <x:row r="1611" ht="22" customHeight="1">
      <x:c r="A1611" s="136" t="str">
        <x:v>SCR-1606</x:v>
      </x:c>
      <x:c r="B1611" s="143" t="n">
        <x:v>0.000001951282051282051</x:v>
      </x:c>
      <x:c r="C1611" s="143" t="n">
        <x:v>0.004846153846153846</x:v>
      </x:c>
      <x:c r="D1611" s="161" t="n">
        <x:v>1</x:v>
      </x:c>
      <x:c r="E1611" s="163" t="n">
        <x:v>-3259.4587235165845</x:v>
      </x:c>
      <x:c r="F1611" s="163" t="n">
        <x:v>0</x:v>
      </x:c>
      <x:c r="G1611" s="145" t="n">
        <x:v>0.03439274344054965</x:v>
      </x:c>
      <x:c r="H1611" s="145" t="n">
        <x:v>0.5</x:v>
      </x:c>
      <x:c r="I1611" s="136" t="str">
        <x:v>NONPOSITIVE-MODEL-MARGIN</x:v>
      </x:c>
      <x:c r="J1611" s="136" t="str">
        <x:v>V0.7-CONTROLLED-RESEARCH-SCREEN-NOT-DISTRIBUTION</x:v>
      </x:c>
    </x:row>
    <x:row r="1612" ht="22" customHeight="1">
      <x:c r="A1612" s="137" t="str">
        <x:v>SCR-1607</x:v>
      </x:c>
      <x:c r="B1612" s="142" t="n">
        <x:v>0.000001951282051282051</x:v>
      </x:c>
      <x:c r="C1612" s="142" t="n">
        <x:v>0.005</x:v>
      </x:c>
      <x:c r="D1612" s="160" t="n">
        <x:v>1</x:v>
      </x:c>
      <x:c r="E1612" s="162" t="n">
        <x:v>-3267.879256899205</x:v>
      </x:c>
      <x:c r="F1612" s="162" t="n">
        <x:v>0</x:v>
      </x:c>
      <x:c r="G1612" s="144" t="n">
        <x:v>0.03453741008368012</x:v>
      </x:c>
      <x:c r="H1612" s="144" t="n">
        <x:v>0.5</x:v>
      </x:c>
      <x:c r="I1612" s="137" t="str">
        <x:v>NONPOSITIVE-MODEL-MARGIN</x:v>
      </x:c>
      <x:c r="J1612" s="137" t="str">
        <x:v>V0.7-CONTROLLED-RESEARCH-SCREEN-NOT-DISTRIBUTION</x:v>
      </x:c>
    </x:row>
    <x:row r="1613" ht="22" customHeight="1">
      <x:c r="A1613" s="136" t="str">
        <x:v>SCR-1608</x:v>
      </x:c>
      <x:c r="B1613" s="143" t="n">
        <x:v>0.000001951282051282051</x:v>
      </x:c>
      <x:c r="C1613" s="143" t="n">
        <x:v>0.005153846153846154</x:v>
      </x:c>
      <x:c r="D1613" s="161" t="n">
        <x:v>1</x:v>
      </x:c>
      <x:c r="E1613" s="163" t="n">
        <x:v>-3276.289352608283</x:v>
      </x:c>
      <x:c r="F1613" s="163" t="n">
        <x:v>0</x:v>
      </x:c>
      <x:c r="G1613" s="145" t="n">
        <x:v>0.0346820767268106</x:v>
      </x:c>
      <x:c r="H1613" s="145" t="n">
        <x:v>0.5</x:v>
      </x:c>
      <x:c r="I1613" s="136" t="str">
        <x:v>NONPOSITIVE-MODEL-MARGIN</x:v>
      </x:c>
      <x:c r="J1613" s="136" t="str">
        <x:v>V0.7-CONTROLLED-RESEARCH-SCREEN-NOT-DISTRIBUTION</x:v>
      </x:c>
    </x:row>
    <x:row r="1614" ht="22" customHeight="1">
      <x:c r="A1614" s="137" t="str">
        <x:v>SCR-1609</x:v>
      </x:c>
      <x:c r="B1614" s="142" t="n">
        <x:v>0.000001951282051282051</x:v>
      </x:c>
      <x:c r="C1614" s="142" t="n">
        <x:v>0.005461538461538462</x:v>
      </x:c>
      <x:c r="D1614" s="160" t="n">
        <x:v>1</x:v>
      </x:c>
      <x:c r="E1614" s="162" t="n">
        <x:v>-3293.0783718852176</x:v>
      </x:c>
      <x:c r="F1614" s="162" t="n">
        <x:v>0</x:v>
      </x:c>
      <x:c r="G1614" s="144" t="n">
        <x:v>0.03497141001307155</x:v>
      </x:c>
      <x:c r="H1614" s="144" t="n">
        <x:v>0.5</x:v>
      </x:c>
      <x:c r="I1614" s="137" t="str">
        <x:v>NONPOSITIVE-MODEL-MARGIN</x:v>
      </x:c>
      <x:c r="J1614" s="137" t="str">
        <x:v>V0.7-CONTROLLED-RESEARCH-SCREEN-NOT-DISTRIBUTION</x:v>
      </x:c>
    </x:row>
    <x:row r="1615" ht="22" customHeight="1">
      <x:c r="A1615" s="136" t="str">
        <x:v>SCR-1610</x:v>
      </x:c>
      <x:c r="B1615" s="143" t="n">
        <x:v>0.000001951282051282051</x:v>
      </x:c>
      <x:c r="C1615" s="143" t="n">
        <x:v>0.0057692307692307696</x:v>
      </x:c>
      <x:c r="D1615" s="161" t="n">
        <x:v>1</x:v>
      </x:c>
      <x:c r="E1615" s="163" t="n">
        <x:v>-3309.8260606995545</x:v>
      </x:c>
      <x:c r="F1615" s="163" t="n">
        <x:v>0</x:v>
      </x:c>
      <x:c r="G1615" s="145" t="n">
        <x:v>0.03526074329933252</x:v>
      </x:c>
      <x:c r="H1615" s="145" t="n">
        <x:v>0.5</x:v>
      </x:c>
      <x:c r="I1615" s="136" t="str">
        <x:v>NONPOSITIVE-MODEL-MARGIN</x:v>
      </x:c>
      <x:c r="J1615" s="136" t="str">
        <x:v>V0.7-CONTROLLED-RESEARCH-SCREEN-NOT-DISTRIBUTION</x:v>
      </x:c>
    </x:row>
    <x:row r="1616" ht="22" customHeight="1">
      <x:c r="A1616" s="137" t="str">
        <x:v>SCR-1611</x:v>
      </x:c>
      <x:c r="B1616" s="142" t="n">
        <x:v>0.000001951282051282051</x:v>
      </x:c>
      <x:c r="C1616" s="142" t="n">
        <x:v>0.006076923076923077</x:v>
      </x:c>
      <x:c r="D1616" s="160" t="n">
        <x:v>1</x:v>
      </x:c>
      <x:c r="E1616" s="162" t="n">
        <x:v>-3326.5326946050786</x:v>
      </x:c>
      <x:c r="F1616" s="162" t="n">
        <x:v>0</x:v>
      </x:c>
      <x:c r="G1616" s="144" t="n">
        <x:v>0.035550076585593456</x:v>
      </x:c>
      <x:c r="H1616" s="144" t="n">
        <x:v>0.5</x:v>
      </x:c>
      <x:c r="I1616" s="137" t="str">
        <x:v>NONPOSITIVE-MODEL-MARGIN</x:v>
      </x:c>
      <x:c r="J1616" s="137" t="str">
        <x:v>V0.7-CONTROLLED-RESEARCH-SCREEN-NOT-DISTRIBUTION</x:v>
      </x:c>
    </x:row>
    <x:row r="1617" ht="22" customHeight="1">
      <x:c r="A1617" s="136" t="str">
        <x:v>SCR-1612</x:v>
      </x:c>
      <x:c r="B1617" s="143" t="n">
        <x:v>0.000001951282051282051</x:v>
      </x:c>
      <x:c r="C1617" s="143" t="n">
        <x:v>0.006384615384615384</x:v>
      </x:c>
      <x:c r="D1617" s="161" t="n">
        <x:v>1</x:v>
      </x:c>
      <x:c r="E1617" s="163" t="n">
        <x:v>-3343.1985454306623</x:v>
      </x:c>
      <x:c r="F1617" s="163" t="n">
        <x:v>0</x:v>
      </x:c>
      <x:c r="G1617" s="145" t="n">
        <x:v>0.035839409871854404</x:v>
      </x:c>
      <x:c r="H1617" s="145" t="n">
        <x:v>0.5</x:v>
      </x:c>
      <x:c r="I1617" s="136" t="str">
        <x:v>NONPOSITIVE-MODEL-MARGIN</x:v>
      </x:c>
      <x:c r="J1617" s="136" t="str">
        <x:v>V0.7-CONTROLLED-RESEARCH-SCREEN-NOT-DISTRIBUTION</x:v>
      </x:c>
    </x:row>
    <x:row r="1618" ht="22" customHeight="1">
      <x:c r="A1618" s="137" t="str">
        <x:v>SCR-1613</x:v>
      </x:c>
      <x:c r="B1618" s="142" t="n">
        <x:v>0.000001951282051282051</x:v>
      </x:c>
      <x:c r="C1618" s="142" t="n">
        <x:v>0.006692307692307693</x:v>
      </x:c>
      <x:c r="D1618" s="160" t="n">
        <x:v>1</x:v>
      </x:c>
      <x:c r="E1618" s="162" t="n">
        <x:v>-3359.8238813519392</x:v>
      </x:c>
      <x:c r="F1618" s="162" t="n">
        <x:v>0</x:v>
      </x:c>
      <x:c r="G1618" s="144" t="n">
        <x:v>0.036128743158115366</x:v>
      </x:c>
      <x:c r="H1618" s="144" t="n">
        <x:v>0.5</x:v>
      </x:c>
      <x:c r="I1618" s="137" t="str">
        <x:v>NONPOSITIVE-MODEL-MARGIN</x:v>
      </x:c>
      <x:c r="J1618" s="137" t="str">
        <x:v>V0.7-CONTROLLED-RESEARCH-SCREEN-NOT-DISTRIBUTION</x:v>
      </x:c>
    </x:row>
    <x:row r="1619" ht="22" customHeight="1">
      <x:c r="A1619" s="136" t="str">
        <x:v>SCR-1614</x:v>
      </x:c>
      <x:c r="B1619" s="143" t="n">
        <x:v>0.000001951282051282051</x:v>
      </x:c>
      <x:c r="C1619" s="143" t="n">
        <x:v>0.007</x:v>
      </x:c>
      <x:c r="D1619" s="161" t="n">
        <x:v>1</x:v>
      </x:c>
      <x:c r="E1619" s="163" t="n">
        <x:v>-3376.4089669612536</x:v>
      </x:c>
      <x:c r="F1619" s="163" t="n">
        <x:v>0</x:v>
      </x:c>
      <x:c r="G1619" s="145" t="n">
        <x:v>0.036418076444376314</x:v>
      </x:c>
      <x:c r="H1619" s="145" t="n">
        <x:v>0.5</x:v>
      </x:c>
      <x:c r="I1619" s="136" t="str">
        <x:v>NONPOSITIVE-MODEL-MARGIN</x:v>
      </x:c>
      <x:c r="J1619" s="136" t="str">
        <x:v>V0.7-CONTROLLED-RESEARCH-SCREEN-NOT-DISTRIBUTION</x:v>
      </x:c>
    </x:row>
    <x:row r="1620" ht="22" customHeight="1">
      <x:c r="A1620" s="137" t="str">
        <x:v>SCR-1615</x:v>
      </x:c>
      <x:c r="B1620" s="142" t="n">
        <x:v>0.000001951282051282051</x:v>
      </x:c>
      <x:c r="C1620" s="142" t="n">
        <x:v>0.007307692307692308</x:v>
      </x:c>
      <x:c r="D1620" s="160" t="n">
        <x:v>1</x:v>
      </x:c>
      <x:c r="E1620" s="162" t="n">
        <x:v>-3392.9540633360198</x:v>
      </x:c>
      <x:c r="F1620" s="162" t="n">
        <x:v>0</x:v>
      </x:c>
      <x:c r="G1620" s="144" t="n">
        <x:v>0.03670740973063726</x:v>
      </x:c>
      <x:c r="H1620" s="144" t="n">
        <x:v>0.5</x:v>
      </x:c>
      <x:c r="I1620" s="137" t="str">
        <x:v>NONPOSITIVE-MODEL-MARGIN</x:v>
      </x:c>
      <x:c r="J1620" s="137" t="str">
        <x:v>V0.7-CONTROLLED-RESEARCH-SCREEN-NOT-DISTRIBUTION</x:v>
      </x:c>
    </x:row>
    <x:row r="1621" ht="22" customHeight="1">
      <x:c r="A1621" s="136" t="str">
        <x:v>SCR-1616</x:v>
      </x:c>
      <x:c r="B1621" s="143" t="n">
        <x:v>0.000001951282051282051</x:v>
      </x:c>
      <x:c r="C1621" s="143" t="n">
        <x:v>0.007615384615384616</x:v>
      </x:c>
      <x:c r="D1621" s="161" t="n">
        <x:v>1</x:v>
      </x:c>
      <x:c r="E1621" s="163" t="n">
        <x:v>-3409.459428105369</x:v>
      </x:c>
      <x:c r="F1621" s="163" t="n">
        <x:v>0</x:v>
      </x:c>
      <x:c r="G1621" s="145" t="n">
        <x:v>0.03699674301689822</x:v>
      </x:c>
      <x:c r="H1621" s="145" t="n">
        <x:v>0.5</x:v>
      </x:c>
      <x:c r="I1621" s="136" t="str">
        <x:v>NONPOSITIVE-MODEL-MARGIN</x:v>
      </x:c>
      <x:c r="J1621" s="136" t="str">
        <x:v>V0.7-CONTROLLED-RESEARCH-SCREEN-NOT-DISTRIBUTION</x:v>
      </x:c>
    </x:row>
    <x:row r="1622" ht="22" customHeight="1">
      <x:c r="A1622" s="137" t="str">
        <x:v>SCR-1617</x:v>
      </x:c>
      <x:c r="B1622" s="142" t="n">
        <x:v>0.000001951282051282051</x:v>
      </x:c>
      <x:c r="C1622" s="142" t="n">
        <x:v>0.007923076923076923</x:v>
      </x:c>
      <x:c r="D1622" s="160" t="n">
        <x:v>1</x:v>
      </x:c>
      <x:c r="E1622" s="162" t="n">
        <x:v>-3425.925315515308</x:v>
      </x:c>
      <x:c r="F1622" s="162" t="n">
        <x:v>0</x:v>
      </x:c>
      <x:c r="G1622" s="144" t="n">
        <x:v>0.03728607630315917</x:v>
      </x:c>
      <x:c r="H1622" s="144" t="n">
        <x:v>0.5</x:v>
      </x:c>
      <x:c r="I1622" s="137" t="str">
        <x:v>NONPOSITIVE-MODEL-MARGIN</x:v>
      </x:c>
      <x:c r="J1622" s="137" t="str">
        <x:v>V0.7-CONTROLLED-RESEARCH-SCREEN-NOT-DISTRIBUTION</x:v>
      </x:c>
    </x:row>
    <x:row r="1623" ht="22" customHeight="1">
      <x:c r="A1623" s="136" t="str">
        <x:v>SCR-1618</x:v>
      </x:c>
      <x:c r="B1623" s="143" t="n">
        <x:v>0.000001951282051282051</x:v>
      </x:c>
      <x:c r="C1623" s="143" t="n">
        <x:v>0.00823076923076923</x:v>
      </x:c>
      <x:c r="D1623" s="161" t="n">
        <x:v>1</x:v>
      </x:c>
      <x:c r="E1623" s="163" t="n">
        <x:v>-3442.351976492266</x:v>
      </x:c>
      <x:c r="F1623" s="163" t="n">
        <x:v>0</x:v>
      </x:c>
      <x:c r="G1623" s="145" t="n">
        <x:v>0.03757540958942012</x:v>
      </x:c>
      <x:c r="H1623" s="145" t="n">
        <x:v>0.5</x:v>
      </x:c>
      <x:c r="I1623" s="136" t="str">
        <x:v>NONPOSITIVE-MODEL-MARGIN</x:v>
      </x:c>
      <x:c r="J1623" s="136" t="str">
        <x:v>V0.7-CONTROLLED-RESEARCH-SCREEN-NOT-DISTRIBUTION</x:v>
      </x:c>
    </x:row>
    <x:row r="1624" ht="22" customHeight="1">
      <x:c r="A1624" s="137" t="str">
        <x:v>SCR-1619</x:v>
      </x:c>
      <x:c r="B1624" s="142" t="n">
        <x:v>0.000001951282051282051</x:v>
      </x:c>
      <x:c r="C1624" s="142" t="n">
        <x:v>0.00853846153846154</x:v>
      </x:c>
      <x:c r="D1624" s="160" t="n">
        <x:v>1</x:v>
      </x:c>
      <x:c r="E1624" s="162" t="n">
        <x:v>-3458.739658705196</x:v>
      </x:c>
      <x:c r="F1624" s="162" t="n">
        <x:v>0</x:v>
      </x:c>
      <x:c r="G1624" s="144" t="n">
        <x:v>0.03786474287568107</x:v>
      </x:c>
      <x:c r="H1624" s="144" t="n">
        <x:v>0.5</x:v>
      </x:c>
      <x:c r="I1624" s="137" t="str">
        <x:v>NONPOSITIVE-MODEL-MARGIN</x:v>
      </x:c>
      <x:c r="J1624" s="137" t="str">
        <x:v>V0.7-CONTROLLED-RESEARCH-SCREEN-NOT-DISTRIBUTION</x:v>
      </x:c>
    </x:row>
    <x:row r="1625" ht="22" customHeight="1">
      <x:c r="A1625" s="136" t="str">
        <x:v>SCR-1620</x:v>
      </x:c>
      <x:c r="B1625" s="143" t="n">
        <x:v>0.000001951282051282051</x:v>
      </x:c>
      <x:c r="C1625" s="143" t="n">
        <x:v>0.008846153846153847</x:v>
      </x:c>
      <x:c r="D1625" s="161" t="n">
        <x:v>1</x:v>
      </x:c>
      <x:c r="E1625" s="163" t="n">
        <x:v>-3475.0886066262156</x:v>
      </x:c>
      <x:c r="F1625" s="163" t="n">
        <x:v>0</x:v>
      </x:c>
      <x:c r="G1625" s="145" t="n">
        <x:v>0.03815407616194203</x:v>
      </x:c>
      <x:c r="H1625" s="145" t="n">
        <x:v>0.5</x:v>
      </x:c>
      <x:c r="I1625" s="136" t="str">
        <x:v>NONPOSITIVE-MODEL-MARGIN</x:v>
      </x:c>
      <x:c r="J1625" s="136" t="str">
        <x:v>V0.7-CONTROLLED-RESEARCH-SCREEN-NOT-DISTRIBUTION</x:v>
      </x:c>
    </x:row>
    <x:row r="1626" ht="22" customHeight="1">
      <x:c r="A1626" s="137" t="str">
        <x:v>SCR-1621</x:v>
      </x:c>
      <x:c r="B1626" s="142" t="n">
        <x:v>0.000001951282051282051</x:v>
      </x:c>
      <x:c r="C1626" s="142" t="n">
        <x:v>0.009153846153846155</x:v>
      </x:c>
      <x:c r="D1626" s="160" t="n">
        <x:v>1</x:v>
      </x:c>
      <x:c r="E1626" s="162" t="n">
        <x:v>-3491.399061589797</x:v>
      </x:c>
      <x:c r="F1626" s="162" t="n">
        <x:v>0</x:v>
      </x:c>
      <x:c r="G1626" s="144" t="n">
        <x:v>0.03844340944820297</x:v>
      </x:c>
      <x:c r="H1626" s="144" t="n">
        <x:v>0.5</x:v>
      </x:c>
      <x:c r="I1626" s="137" t="str">
        <x:v>NONPOSITIVE-MODEL-MARGIN</x:v>
      </x:c>
      <x:c r="J1626" s="137" t="str">
        <x:v>V0.7-CONTROLLED-RESEARCH-SCREEN-NOT-DISTRIBUTION</x:v>
      </x:c>
    </x:row>
    <x:row r="1627" ht="22" customHeight="1">
      <x:c r="A1627" s="136" t="str">
        <x:v>SCR-1622</x:v>
      </x:c>
      <x:c r="B1627" s="143" t="n">
        <x:v>0.000001951282051282051</x:v>
      </x:c>
      <x:c r="C1627" s="143" t="n">
        <x:v>0.009461538461538462</x:v>
      </x:c>
      <x:c r="D1627" s="161" t="n">
        <x:v>1</x:v>
      </x:c>
      <x:c r="E1627" s="163" t="n">
        <x:v>-3507.671261850631</x:v>
      </x:c>
      <x:c r="F1627" s="163" t="n">
        <x:v>0</x:v>
      </x:c>
      <x:c r="G1627" s="145" t="n">
        <x:v>0.03873274273446393</x:v>
      </x:c>
      <x:c r="H1627" s="145" t="n">
        <x:v>0.5</x:v>
      </x:c>
      <x:c r="I1627" s="136" t="str">
        <x:v>NONPOSITIVE-MODEL-MARGIN</x:v>
      </x:c>
      <x:c r="J1627" s="136" t="str">
        <x:v>V0.7-CONTROLLED-RESEARCH-SCREEN-NOT-DISTRIBUTION</x:v>
      </x:c>
    </x:row>
    <x:row r="1628" ht="22" customHeight="1">
      <x:c r="A1628" s="137" t="str">
        <x:v>SCR-1623</x:v>
      </x:c>
      <x:c r="B1628" s="142" t="n">
        <x:v>0.000001951282051282051</x:v>
      </x:c>
      <x:c r="C1628" s="142" t="n">
        <x:v>0.00976923076923077</x:v>
      </x:c>
      <x:c r="D1628" s="160" t="n">
        <x:v>1</x:v>
      </x:c>
      <x:c r="E1628" s="162" t="n">
        <x:v>-3523.9054426400903</x:v>
      </x:c>
      <x:c r="F1628" s="162" t="n">
        <x:v>0</x:v>
      </x:c>
      <x:c r="G1628" s="144" t="n">
        <x:v>0.03902207602072488</x:v>
      </x:c>
      <x:c r="H1628" s="144" t="n">
        <x:v>0.5</x:v>
      </x:c>
      <x:c r="I1628" s="137" t="str">
        <x:v>NONPOSITIVE-MODEL-MARGIN</x:v>
      </x:c>
      <x:c r="J1628" s="137" t="str">
        <x:v>V0.7-CONTROLLED-RESEARCH-SCREEN-NOT-DISTRIBUTION</x:v>
      </x:c>
    </x:row>
    <x:row r="1629" ht="22" customHeight="1">
      <x:c r="A1629" s="136" t="str">
        <x:v>SCR-1624</x:v>
      </x:c>
      <x:c r="B1629" s="143" t="n">
        <x:v>0.000001951282051282051</x:v>
      </x:c>
      <x:c r="C1629" s="143" t="n">
        <x:v>0.010076923076923077</x:v>
      </x:c>
      <x:c r="D1629" s="161" t="n">
        <x:v>1</x:v>
      </x:c>
      <x:c r="E1629" s="163" t="n">
        <x:v>-3536.9057007020306</x:v>
      </x:c>
      <x:c r="F1629" s="163" t="n">
        <x:v>0</x:v>
      </x:c>
      <x:c r="G1629" s="145" t="n">
        <x:v>0.039311409306985824</x:v>
      </x:c>
      <x:c r="H1629" s="145" t="n">
        <x:v>0.5</x:v>
      </x:c>
      <x:c r="I1629" s="136" t="str">
        <x:v>NONPOSITIVE-MODEL-MARGIN</x:v>
      </x:c>
      <x:c r="J1629" s="136" t="str">
        <x:v>V0.7-CONTROLLED-RESEARCH-SCREEN-NOT-DISTRIBUTION</x:v>
      </x:c>
    </x:row>
    <x:row r="1630" ht="22" customHeight="1">
      <x:c r="A1630" s="137" t="str">
        <x:v>SCR-1625</x:v>
      </x:c>
      <x:c r="B1630" s="142" t="n">
        <x:v>0.000001951282051282051</x:v>
      </x:c>
      <x:c r="C1630" s="142" t="n">
        <x:v>0.010384615384615384</x:v>
      </x:c>
      <x:c r="D1630" s="160" t="n">
        <x:v>1</x:v>
      </x:c>
      <x:c r="E1630" s="162" t="n">
        <x:v>-3553.072170723052</x:v>
      </x:c>
      <x:c r="F1630" s="162" t="n">
        <x:v>0</x:v>
      </x:c>
      <x:c r="G1630" s="144" t="n">
        <x:v>0.03960074259324678</x:v>
      </x:c>
      <x:c r="H1630" s="144" t="n">
        <x:v>0.5</x:v>
      </x:c>
      <x:c r="I1630" s="137" t="str">
        <x:v>NONPOSITIVE-MODEL-MARGIN</x:v>
      </x:c>
      <x:c r="J1630" s="137" t="str">
        <x:v>V0.7-CONTROLLED-RESEARCH-SCREEN-NOT-DISTRIBUTION</x:v>
      </x:c>
    </x:row>
    <x:row r="1631" ht="22" customHeight="1">
      <x:c r="A1631" s="136" t="str">
        <x:v>SCR-1626</x:v>
      </x:c>
      <x:c r="B1631" s="143" t="n">
        <x:v>0.000001951282051282051</x:v>
      </x:c>
      <x:c r="C1631" s="143" t="n">
        <x:v>0.010692307692307692</x:v>
      </x:c>
      <x:c r="D1631" s="161" t="n">
        <x:v>1</x:v>
      </x:c>
      <x:c r="E1631" s="163" t="n">
        <x:v>-3569.2012560804574</x:v>
      </x:c>
      <x:c r="F1631" s="163" t="n">
        <x:v>0</x:v>
      </x:c>
      <x:c r="G1631" s="145" t="n">
        <x:v>0.03989007587950773</x:v>
      </x:c>
      <x:c r="H1631" s="145" t="n">
        <x:v>0.5</x:v>
      </x:c>
      <x:c r="I1631" s="136" t="str">
        <x:v>NONPOSITIVE-MODEL-MARGIN</x:v>
      </x:c>
      <x:c r="J1631" s="136" t="str">
        <x:v>V0.7-CONTROLLED-RESEARCH-SCREEN-NOT-DISTRIBUTION</x:v>
      </x:c>
    </x:row>
    <x:row r="1632" ht="22" customHeight="1">
      <x:c r="A1632" s="137" t="str">
        <x:v>SCR-1627</x:v>
      </x:c>
      <x:c r="B1632" s="142" t="n">
        <x:v>0.000001951282051282051</x:v>
      </x:c>
      <x:c r="C1632" s="142" t="n">
        <x:v>0.011</x:v>
      </x:c>
      <x:c r="D1632" s="160" t="n">
        <x:v>1</x:v>
      </x:c>
      <x:c r="E1632" s="162" t="n">
        <x:v>-3585.29318122339</x:v>
      </x:c>
      <x:c r="F1632" s="162" t="n">
        <x:v>0</x:v>
      </x:c>
      <x:c r="G1632" s="144" t="n">
        <x:v>0.04017940916576868</x:v>
      </x:c>
      <x:c r="H1632" s="144" t="n">
        <x:v>0.5</x:v>
      </x:c>
      <x:c r="I1632" s="137" t="str">
        <x:v>NONPOSITIVE-MODEL-MARGIN</x:v>
      </x:c>
      <x:c r="J1632" s="137" t="str">
        <x:v>V0.7-CONTROLLED-RESEARCH-SCREEN-NOT-DISTRIBUTION</x:v>
      </x:c>
    </x:row>
    <x:row r="1633" ht="22" customHeight="1">
      <x:c r="A1633" s="136" t="str">
        <x:v>SCR-1628</x:v>
      </x:c>
      <x:c r="B1633" s="143" t="n">
        <x:v>0.000001951282051282051</x:v>
      </x:c>
      <x:c r="C1633" s="143" t="n">
        <x:v>0.011307692307692307</x:v>
      </x:c>
      <x:c r="D1633" s="161" t="n">
        <x:v>1</x:v>
      </x:c>
      <x:c r="E1633" s="163" t="n">
        <x:v>-3601.348167824602</x:v>
      </x:c>
      <x:c r="F1633" s="163" t="n">
        <x:v>0</x:v>
      </x:c>
      <x:c r="G1633" s="145" t="n">
        <x:v>0.04046874245202963</x:v>
      </x:c>
      <x:c r="H1633" s="145" t="n">
        <x:v>0.5</x:v>
      </x:c>
      <x:c r="I1633" s="136" t="str">
        <x:v>NONPOSITIVE-MODEL-MARGIN</x:v>
      </x:c>
      <x:c r="J1633" s="136" t="str">
        <x:v>V0.7-CONTROLLED-RESEARCH-SCREEN-NOT-DISTRIBUTION</x:v>
      </x:c>
    </x:row>
    <x:row r="1634" ht="22" customHeight="1">
      <x:c r="A1634" s="137" t="str">
        <x:v>SCR-1629</x:v>
      </x:c>
      <x:c r="B1634" s="142" t="n">
        <x:v>0.000001951282051282051</x:v>
      </x:c>
      <x:c r="C1634" s="142" t="n">
        <x:v>0.011615384615384614</x:v>
      </x:c>
      <x:c r="D1634" s="160" t="n">
        <x:v>1</x:v>
      </x:c>
      <x:c r="E1634" s="162" t="n">
        <x:v>-3617.3664348300963</x:v>
      </x:c>
      <x:c r="F1634" s="162" t="n">
        <x:v>0</x:v>
      </x:c>
      <x:c r="G1634" s="144" t="n">
        <x:v>0.04075807573829058</x:v>
      </x:c>
      <x:c r="H1634" s="144" t="n">
        <x:v>0.5</x:v>
      </x:c>
      <x:c r="I1634" s="137" t="str">
        <x:v>NONPOSITIVE-MODEL-MARGIN</x:v>
      </x:c>
      <x:c r="J1634" s="137" t="str">
        <x:v>V0.7-CONTROLLED-RESEARCH-SCREEN-NOT-DISTRIBUTION</x:v>
      </x:c>
    </x:row>
    <x:row r="1635" ht="22" customHeight="1">
      <x:c r="A1635" s="136" t="str">
        <x:v>SCR-1630</x:v>
      </x:c>
      <x:c r="B1635" s="143" t="n">
        <x:v>0.000001951282051282051</x:v>
      </x:c>
      <x:c r="C1635" s="143" t="n">
        <x:v>0.011923076923076925</x:v>
      </x:c>
      <x:c r="D1635" s="161" t="n">
        <x:v>1</x:v>
      </x:c>
      <x:c r="E1635" s="163" t="n">
        <x:v>-3633.3481985076314</x:v>
      </x:c>
      <x:c r="F1635" s="163" t="n">
        <x:v>0</x:v>
      </x:c>
      <x:c r="G1635" s="145" t="n">
        <x:v>0.041047409024551534</x:v>
      </x:c>
      <x:c r="H1635" s="145" t="n">
        <x:v>0.5</x:v>
      </x:c>
      <x:c r="I1635" s="136" t="str">
        <x:v>NONPOSITIVE-MODEL-MARGIN</x:v>
      </x:c>
      <x:c r="J1635" s="136" t="str">
        <x:v>V0.7-CONTROLLED-RESEARCH-SCREEN-NOT-DISTRIBUTION</x:v>
      </x:c>
    </x:row>
    <x:row r="1636" ht="22" customHeight="1">
      <x:c r="A1636" s="137" t="str">
        <x:v>SCR-1631</x:v>
      </x:c>
      <x:c r="B1636" s="142" t="n">
        <x:v>0.000001951282051282051</x:v>
      </x:c>
      <x:c r="C1636" s="142" t="n">
        <x:v>0.012230769230769233</x:v>
      </x:c>
      <x:c r="D1636" s="160" t="n">
        <x:v>1</x:v>
      </x:c>
      <x:c r="E1636" s="162" t="n">
        <x:v>-3649.2936724940896</x:v>
      </x:c>
      <x:c r="F1636" s="162" t="n">
        <x:v>0</x:v>
      </x:c>
      <x:c r="G1636" s="144" t="n">
        <x:v>0.04133674231081249</x:v>
      </x:c>
      <x:c r="H1636" s="144" t="n">
        <x:v>0.5</x:v>
      </x:c>
      <x:c r="I1636" s="137" t="str">
        <x:v>NONPOSITIVE-MODEL-MARGIN</x:v>
      </x:c>
      <x:c r="J1636" s="137" t="str">
        <x:v>V0.7-CONTROLLED-RESEARCH-SCREEN-NOT-DISTRIBUTION</x:v>
      </x:c>
    </x:row>
    <x:row r="1637" ht="22" customHeight="1">
      <x:c r="A1637" s="136" t="str">
        <x:v>SCR-1632</x:v>
      </x:c>
      <x:c r="B1637" s="143" t="n">
        <x:v>0.000001951282051282051</x:v>
      </x:c>
      <x:c r="C1637" s="143" t="n">
        <x:v>0.01253846153846154</x:v>
      </x:c>
      <x:c r="D1637" s="161" t="n">
        <x:v>1</x:v>
      </x:c>
      <x:c r="E1637" s="163" t="n">
        <x:v>-3665.203067841831</x:v>
      </x:c>
      <x:c r="F1637" s="163" t="n">
        <x:v>0</x:v>
      </x:c>
      <x:c r="G1637" s="145" t="n">
        <x:v>0.041626075597073445</x:v>
      </x:c>
      <x:c r="H1637" s="145" t="n">
        <x:v>0.5</x:v>
      </x:c>
      <x:c r="I1637" s="136" t="str">
        <x:v>NONPOSITIVE-MODEL-MARGIN</x:v>
      </x:c>
      <x:c r="J1637" s="136" t="str">
        <x:v>V0.7-CONTROLLED-RESEARCH-SCREEN-NOT-DISTRIBUTION</x:v>
      </x:c>
    </x:row>
    <x:row r="1638" ht="22" customHeight="1">
      <x:c r="A1638" s="137" t="str">
        <x:v>SCR-1633</x:v>
      </x:c>
      <x:c r="B1638" s="142" t="n">
        <x:v>0.000001951282051282051</x:v>
      </x:c>
      <x:c r="C1638" s="142" t="n">
        <x:v>0.012846153846153847</x:v>
      </x:c>
      <x:c r="D1638" s="160" t="n">
        <x:v>1</x:v>
      </x:c>
      <x:c r="E1638" s="162" t="n">
        <x:v>-3681.0765930639704</x:v>
      </x:c>
      <x:c r="F1638" s="162" t="n">
        <x:v>0</x:v>
      </x:c>
      <x:c r="G1638" s="144" t="n">
        <x:v>0.04191540888333439</x:v>
      </x:c>
      <x:c r="H1638" s="144" t="n">
        <x:v>0.5</x:v>
      </x:c>
      <x:c r="I1638" s="137" t="str">
        <x:v>NONPOSITIVE-MODEL-MARGIN</x:v>
      </x:c>
      <x:c r="J1638" s="137" t="str">
        <x:v>V0.7-CONTROLLED-RESEARCH-SCREEN-NOT-DISTRIBUTION</x:v>
      </x:c>
    </x:row>
    <x:row r="1639" ht="22" customHeight="1">
      <x:c r="A1639" s="136" t="str">
        <x:v>SCR-1634</x:v>
      </x:c>
      <x:c r="B1639" s="143" t="n">
        <x:v>0.000001951282051282051</x:v>
      </x:c>
      <x:c r="C1639" s="143" t="n">
        <x:v>0.013153846153846155</x:v>
      </x:c>
      <x:c r="D1639" s="161" t="n">
        <x:v>1</x:v>
      </x:c>
      <x:c r="E1639" s="163" t="n">
        <x:v>-3696.914454178618</x:v>
      </x:c>
      <x:c r="F1639" s="163" t="n">
        <x:v>0</x:v>
      </x:c>
      <x:c r="G1639" s="145" t="n">
        <x:v>0.04220474216959534</x:v>
      </x:c>
      <x:c r="H1639" s="145" t="n">
        <x:v>0.5</x:v>
      </x:c>
      <x:c r="I1639" s="136" t="str">
        <x:v>NONPOSITIVE-MODEL-MARGIN</x:v>
      </x:c>
      <x:c r="J1639" s="136" t="str">
        <x:v>V0.7-CONTROLLED-RESEARCH-SCREEN-NOT-DISTRIBUTION</x:v>
      </x:c>
    </x:row>
    <x:row r="1640" ht="22" customHeight="1">
      <x:c r="A1640" s="137" t="str">
        <x:v>SCR-1635</x:v>
      </x:c>
      <x:c r="B1640" s="142" t="n">
        <x:v>0.000001951282051282051</x:v>
      </x:c>
      <x:c r="C1640" s="142" t="n">
        <x:v>0.013461538461538462</x:v>
      </x:c>
      <x:c r="D1640" s="160" t="n">
        <x:v>1</x:v>
      </x:c>
      <x:c r="E1640" s="162" t="n">
        <x:v>-3712.7168547522133</x:v>
      </x:c>
      <x:c r="F1640" s="162" t="n">
        <x:v>0</x:v>
      </x:c>
      <x:c r="G1640" s="144" t="n">
        <x:v>0.042494075455856296</x:v>
      </x:c>
      <x:c r="H1640" s="144" t="n">
        <x:v>0.5</x:v>
      </x:c>
      <x:c r="I1640" s="137" t="str">
        <x:v>NONPOSITIVE-MODEL-MARGIN</x:v>
      </x:c>
      <x:c r="J1640" s="137" t="str">
        <x:v>V0.7-CONTROLLED-RESEARCH-SCREEN-NOT-DISTRIBUTION</x:v>
      </x:c>
    </x:row>
    <x:row r="1641" ht="22" customHeight="1">
      <x:c r="A1641" s="136" t="str">
        <x:v>SCR-1636</x:v>
      </x:c>
      <x:c r="B1641" s="143" t="n">
        <x:v>0.000001951282051282051</x:v>
      </x:c>
      <x:c r="C1641" s="143" t="n">
        <x:v>0.01376923076923077</x:v>
      </x:c>
      <x:c r="D1641" s="161" t="n">
        <x:v>1</x:v>
      </x:c>
      <x:c r="E1641" s="163" t="n">
        <x:v>-3725.376116634011</x:v>
      </x:c>
      <x:c r="F1641" s="163" t="n">
        <x:v>0</x:v>
      </x:c>
      <x:c r="G1641" s="145" t="n">
        <x:v>0.042783408742117245</x:v>
      </x:c>
      <x:c r="H1641" s="145" t="n">
        <x:v>0.5</x:v>
      </x:c>
      <x:c r="I1641" s="136" t="str">
        <x:v>NONPOSITIVE-MODEL-MARGIN</x:v>
      </x:c>
      <x:c r="J1641" s="136" t="str">
        <x:v>V0.7-CONTROLLED-RESEARCH-SCREEN-NOT-DISTRIBUTION</x:v>
      </x:c>
    </x:row>
    <x:row r="1642" ht="22" customHeight="1">
      <x:c r="A1642" s="137" t="str">
        <x:v>SCR-1637</x:v>
      </x:c>
      <x:c r="B1642" s="142" t="n">
        <x:v>0.000001951282051282051</x:v>
      </x:c>
      <x:c r="C1642" s="142" t="n">
        <x:v>0.014076923076923077</x:v>
      </x:c>
      <x:c r="D1642" s="160" t="n">
        <x:v>1</x:v>
      </x:c>
      <x:c r="E1642" s="162" t="n">
        <x:v>-3741.1152395198164</x:v>
      </x:c>
      <x:c r="F1642" s="162" t="n">
        <x:v>0</x:v>
      </x:c>
      <x:c r="G1642" s="144" t="n">
        <x:v>0.0430727420283782</x:v>
      </x:c>
      <x:c r="H1642" s="144" t="n">
        <x:v>0.5</x:v>
      </x:c>
      <x:c r="I1642" s="137" t="str">
        <x:v>NONPOSITIVE-MODEL-MARGIN</x:v>
      </x:c>
      <x:c r="J1642" s="137" t="str">
        <x:v>V0.7-CONTROLLED-RESEARCH-SCREEN-NOT-DISTRIBUTION</x:v>
      </x:c>
    </x:row>
    <x:row r="1643" ht="22" customHeight="1">
      <x:c r="A1643" s="136" t="str">
        <x:v>SCR-1638</x:v>
      </x:c>
      <x:c r="B1643" s="143" t="n">
        <x:v>0.000001951282051282051</x:v>
      </x:c>
      <x:c r="C1643" s="143" t="n">
        <x:v>0.014384615384615385</x:v>
      </x:c>
      <x:c r="D1643" s="161" t="n">
        <x:v>1</x:v>
      </x:c>
      <x:c r="E1643" s="163" t="n">
        <x:v>-3756.819453240219</x:v>
      </x:c>
      <x:c r="F1643" s="163" t="n">
        <x:v>0</x:v>
      </x:c>
      <x:c r="G1643" s="145" t="n">
        <x:v>0.04336207531463915</x:v>
      </x:c>
      <x:c r="H1643" s="145" t="n">
        <x:v>0.5</x:v>
      </x:c>
      <x:c r="I1643" s="136" t="str">
        <x:v>NONPOSITIVE-MODEL-MARGIN</x:v>
      </x:c>
      <x:c r="J1643" s="136" t="str">
        <x:v>V0.7-CONTROLLED-RESEARCH-SCREEN-NOT-DISTRIBUTION</x:v>
      </x:c>
    </x:row>
    <x:row r="1644" ht="22" customHeight="1">
      <x:c r="A1644" s="137" t="str">
        <x:v>SCR-1639</x:v>
      </x:c>
      <x:c r="B1644" s="142" t="n">
        <x:v>0.000001951282051282051</x:v>
      </x:c>
      <x:c r="C1644" s="142" t="n">
        <x:v>0.014692307692307692</x:v>
      </x:c>
      <x:c r="D1644" s="160" t="n">
        <x:v>1</x:v>
      </x:c>
      <x:c r="E1644" s="162" t="n">
        <x:v>-3772.488952569023</x:v>
      </x:c>
      <x:c r="F1644" s="162" t="n">
        <x:v>0</x:v>
      </x:c>
      <x:c r="G1644" s="144" t="n">
        <x:v>0.043651408600900096</x:v>
      </x:c>
      <x:c r="H1644" s="144" t="n">
        <x:v>0.5</x:v>
      </x:c>
      <x:c r="I1644" s="137" t="str">
        <x:v>NONPOSITIVE-MODEL-MARGIN</x:v>
      </x:c>
      <x:c r="J1644" s="137" t="str">
        <x:v>V0.7-CONTROLLED-RESEARCH-SCREEN-NOT-DISTRIBUTION</x:v>
      </x:c>
    </x:row>
    <x:row r="1645" ht="22" customHeight="1">
      <x:c r="A1645" s="136" t="str">
        <x:v>SCR-1640</x:v>
      </x:c>
      <x:c r="B1645" s="143" t="n">
        <x:v>0.000001951282051282051</x:v>
      </x:c>
      <x:c r="C1645" s="143" t="n">
        <x:v>0.015</x:v>
      </x:c>
      <x:c r="D1645" s="161" t="n">
        <x:v>1</x:v>
      </x:c>
      <x:c r="E1645" s="163" t="n">
        <x:v>-3788.12393001892</x:v>
      </x:c>
      <x:c r="F1645" s="163" t="n">
        <x:v>0</x:v>
      </x:c>
      <x:c r="G1645" s="145" t="n">
        <x:v>0.04394074188716105</x:v>
      </x:c>
      <x:c r="H1645" s="145" t="n">
        <x:v>0.5</x:v>
      </x:c>
      <x:c r="I1645" s="136" t="str">
        <x:v>NONPOSITIVE-MODEL-MARGIN</x:v>
      </x:c>
      <x:c r="J1645" s="136" t="str">
        <x:v>V0.7-CONTROLLED-RESEARCH-SCREEN-NOT-DISTRIBUTION</x:v>
      </x:c>
    </x:row>
    <x:row r="1646" ht="22" customHeight="1">
      <x:c r="A1646" s="137" t="str">
        <x:v>SCR-1641</x:v>
      </x:c>
      <x:c r="B1646" s="142" t="n">
        <x:v>0.000002</x:v>
      </x:c>
      <x:c r="C1646" s="142" t="n">
        <x:v>0.003</x:v>
      </x:c>
      <x:c r="D1646" s="160" t="n">
        <x:v>1</x:v>
      </x:c>
      <x:c r="E1646" s="162" t="n">
        <x:v>-3204.6068657758924</x:v>
      </x:c>
      <x:c r="F1646" s="162" t="n">
        <x:v>0</x:v>
      </x:c>
      <x:c r="G1646" s="144" t="n">
        <x:v>0.0333410210182511</x:v>
      </x:c>
      <x:c r="H1646" s="144" t="n">
        <x:v>0.5</x:v>
      </x:c>
      <x:c r="I1646" s="137" t="str">
        <x:v>NONPOSITIVE-MODEL-MARGIN</x:v>
      </x:c>
      <x:c r="J1646" s="137" t="str">
        <x:v>V0.7-CONTROLLED-RESEARCH-SCREEN-NOT-DISTRIBUTION</x:v>
      </x:c>
    </x:row>
    <x:row r="1647" ht="22" customHeight="1">
      <x:c r="A1647" s="136" t="str">
        <x:v>SCR-1642</x:v>
      </x:c>
      <x:c r="B1647" s="143" t="n">
        <x:v>0.000002</x:v>
      </x:c>
      <x:c r="C1647" s="143" t="n">
        <x:v>0.003307692307692308</x:v>
      </x:c>
      <x:c r="D1647" s="161" t="n">
        <x:v>1</x:v>
      </x:c>
      <x:c r="E1647" s="163" t="n">
        <x:v>-3221.585060833081</x:v>
      </x:c>
      <x:c r="F1647" s="163" t="n">
        <x:v>0</x:v>
      </x:c>
      <x:c r="G1647" s="145" t="n">
        <x:v>0.03362993069563558</x:v>
      </x:c>
      <x:c r="H1647" s="145" t="n">
        <x:v>0.5</x:v>
      </x:c>
      <x:c r="I1647" s="136" t="str">
        <x:v>NONPOSITIVE-MODEL-MARGIN</x:v>
      </x:c>
      <x:c r="J1647" s="136" t="str">
        <x:v>V0.7-CONTROLLED-RESEARCH-SCREEN-NOT-DISTRIBUTION</x:v>
      </x:c>
    </x:row>
    <x:row r="1648" ht="22" customHeight="1">
      <x:c r="A1648" s="137" t="str">
        <x:v>SCR-1643</x:v>
      </x:c>
      <x:c r="B1648" s="142" t="n">
        <x:v>0.000002</x:v>
      </x:c>
      <x:c r="C1648" s="142" t="n">
        <x:v>0.0036153846153846154</x:v>
      </x:c>
      <x:c r="D1648" s="160" t="n">
        <x:v>1</x:v>
      </x:c>
      <x:c r="E1648" s="162" t="n">
        <x:v>-3238.520710085906</x:v>
      </x:c>
      <x:c r="F1648" s="162" t="n">
        <x:v>0</x:v>
      </x:c>
      <x:c r="G1648" s="144" t="n">
        <x:v>0.033918840373020065</x:v>
      </x:c>
      <x:c r="H1648" s="144" t="n">
        <x:v>0.5</x:v>
      </x:c>
      <x:c r="I1648" s="137" t="str">
        <x:v>NONPOSITIVE-MODEL-MARGIN</x:v>
      </x:c>
      <x:c r="J1648" s="137" t="str">
        <x:v>V0.7-CONTROLLED-RESEARCH-SCREEN-NOT-DISTRIBUTION</x:v>
      </x:c>
    </x:row>
    <x:row r="1649" ht="22" customHeight="1">
      <x:c r="A1649" s="136" t="str">
        <x:v>SCR-1644</x:v>
      </x:c>
      <x:c r="B1649" s="143" t="n">
        <x:v>0.000002</x:v>
      </x:c>
      <x:c r="C1649" s="143" t="n">
        <x:v>0.003923076923076923</x:v>
      </x:c>
      <x:c r="D1649" s="161" t="n">
        <x:v>1</x:v>
      </x:c>
      <x:c r="E1649" s="163" t="n">
        <x:v>-3255.4141056304284</x:v>
      </x:c>
      <x:c r="F1649" s="163" t="n">
        <x:v>0</x:v>
      </x:c>
      <x:c r="G1649" s="145" t="n">
        <x:v>0.034207750050404565</x:v>
      </x:c>
      <x:c r="H1649" s="145" t="n">
        <x:v>0.5</x:v>
      </x:c>
      <x:c r="I1649" s="136" t="str">
        <x:v>NONPOSITIVE-MODEL-MARGIN</x:v>
      </x:c>
      <x:c r="J1649" s="136" t="str">
        <x:v>V0.7-CONTROLLED-RESEARCH-SCREEN-NOT-DISTRIBUTION</x:v>
      </x:c>
    </x:row>
    <x:row r="1650" ht="22" customHeight="1">
      <x:c r="A1650" s="137" t="str">
        <x:v>SCR-1645</x:v>
      </x:c>
      <x:c r="B1650" s="142" t="n">
        <x:v>0.000002</x:v>
      </x:c>
      <x:c r="C1650" s="142" t="n">
        <x:v>0.004230769230769231</x:v>
      </x:c>
      <x:c r="D1650" s="160" t="n">
        <x:v>1</x:v>
      </x:c>
      <x:c r="E1650" s="162" t="n">
        <x:v>-3272.2655355212582</x:v>
      </x:c>
      <x:c r="F1650" s="162" t="n">
        <x:v>0</x:v>
      </x:c>
      <x:c r="G1650" s="144" t="n">
        <x:v>0.03449665972778905</x:v>
      </x:c>
      <x:c r="H1650" s="144" t="n">
        <x:v>0.5</x:v>
      </x:c>
      <x:c r="I1650" s="137" t="str">
        <x:v>NONPOSITIVE-MODEL-MARGIN</x:v>
      </x:c>
      <x:c r="J1650" s="137" t="str">
        <x:v>V0.7-CONTROLLED-RESEARCH-SCREEN-NOT-DISTRIBUTION</x:v>
      </x:c>
    </x:row>
    <x:row r="1651" ht="22" customHeight="1">
      <x:c r="A1651" s="136" t="str">
        <x:v>SCR-1646</x:v>
      </x:c>
      <x:c r="B1651" s="143" t="n">
        <x:v>0.000002</x:v>
      </x:c>
      <x:c r="C1651" s="143" t="n">
        <x:v>0.004538461538461538</x:v>
      </x:c>
      <x:c r="D1651" s="161" t="n">
        <x:v>1</x:v>
      </x:c>
      <x:c r="E1651" s="163" t="n">
        <x:v>-3285.7521361945355</x:v>
      </x:c>
      <x:c r="F1651" s="163" t="n">
        <x:v>0</x:v>
      </x:c>
      <x:c r="G1651" s="145" t="n">
        <x:v>0.034785569405173536</x:v>
      </x:c>
      <x:c r="H1651" s="145" t="n">
        <x:v>0.5</x:v>
      </x:c>
      <x:c r="I1651" s="136" t="str">
        <x:v>NONPOSITIVE-MODEL-MARGIN</x:v>
      </x:c>
      <x:c r="J1651" s="136" t="str">
        <x:v>V0.7-CONTROLLED-RESEARCH-SCREEN-NOT-DISTRIBUTION</x:v>
      </x:c>
    </x:row>
    <x:row r="1652" ht="22" customHeight="1">
      <x:c r="A1652" s="137" t="str">
        <x:v>SCR-1647</x:v>
      </x:c>
      <x:c r="B1652" s="142" t="n">
        <x:v>0.000002</x:v>
      </x:c>
      <x:c r="C1652" s="142" t="n">
        <x:v>0.004846153846153846</x:v>
      </x:c>
      <x:c r="D1652" s="160" t="n">
        <x:v>1</x:v>
      </x:c>
      <x:c r="E1652" s="162" t="n">
        <x:v>-3302.5290536815482</x:v>
      </x:c>
      <x:c r="F1652" s="162" t="n">
        <x:v>0</x:v>
      </x:c>
      <x:c r="G1652" s="144" t="n">
        <x:v>0.03507447908255804</x:v>
      </x:c>
      <x:c r="H1652" s="144" t="n">
        <x:v>0.5</x:v>
      </x:c>
      <x:c r="I1652" s="137" t="str">
        <x:v>NONPOSITIVE-MODEL-MARGIN</x:v>
      </x:c>
      <x:c r="J1652" s="137" t="str">
        <x:v>V0.7-CONTROLLED-RESEARCH-SCREEN-NOT-DISTRIBUTION</x:v>
      </x:c>
    </x:row>
    <x:row r="1653" ht="22" customHeight="1">
      <x:c r="A1653" s="136" t="str">
        <x:v>SCR-1648</x:v>
      </x:c>
      <x:c r="B1653" s="143" t="n">
        <x:v>0.000002</x:v>
      </x:c>
      <x:c r="C1653" s="143" t="n">
        <x:v>0.005</x:v>
      </x:c>
      <x:c r="D1653" s="161" t="n">
        <x:v>1</x:v>
      </x:c>
      <x:c r="E1653" s="163" t="n">
        <x:v>-3310.9020479577066</x:v>
      </x:c>
      <x:c r="F1653" s="163" t="n">
        <x:v>0</x:v>
      </x:c>
      <x:c r="G1653" s="145" t="n">
        <x:v>0.03521893392125028</x:v>
      </x:c>
      <x:c r="H1653" s="145" t="n">
        <x:v>0.5</x:v>
      </x:c>
      <x:c r="I1653" s="136" t="str">
        <x:v>NONPOSITIVE-MODEL-MARGIN</x:v>
      </x:c>
      <x:c r="J1653" s="136" t="str">
        <x:v>V0.7-CONTROLLED-RESEARCH-SCREEN-NOT-DISTRIBUTION</x:v>
      </x:c>
    </x:row>
    <x:row r="1654" ht="22" customHeight="1">
      <x:c r="A1654" s="137" t="str">
        <x:v>SCR-1649</x:v>
      </x:c>
      <x:c r="B1654" s="142" t="n">
        <x:v>0.000002</x:v>
      </x:c>
      <x:c r="C1654" s="142" t="n">
        <x:v>0.005153846153846154</x:v>
      </x:c>
      <x:c r="D1654" s="160" t="n">
        <x:v>1</x:v>
      </x:c>
      <x:c r="E1654" s="162" t="n">
        <x:v>-3319.2647784493706</x:v>
      </x:c>
      <x:c r="F1654" s="162" t="n">
        <x:v>0</x:v>
      </x:c>
      <x:c r="G1654" s="144" t="n">
        <x:v>0.03536338875994252</x:v>
      </x:c>
      <x:c r="H1654" s="144" t="n">
        <x:v>0.5</x:v>
      </x:c>
      <x:c r="I1654" s="137" t="str">
        <x:v>NONPOSITIVE-MODEL-MARGIN</x:v>
      </x:c>
      <x:c r="J1654" s="137" t="str">
        <x:v>V0.7-CONTROLLED-RESEARCH-SCREEN-NOT-DISTRIBUTION</x:v>
      </x:c>
    </x:row>
    <x:row r="1655" ht="22" customHeight="1">
      <x:c r="A1655" s="136" t="str">
        <x:v>SCR-1650</x:v>
      </x:c>
      <x:c r="B1655" s="143" t="n">
        <x:v>0.000002</x:v>
      </x:c>
      <x:c r="C1655" s="143" t="n">
        <x:v>0.005461538461538462</x:v>
      </x:c>
      <x:c r="D1655" s="161" t="n">
        <x:v>1</x:v>
      </x:c>
      <x:c r="E1655" s="163" t="n">
        <x:v>-3335.9595842626013</x:v>
      </x:c>
      <x:c r="F1655" s="163" t="n">
        <x:v>0</x:v>
      </x:c>
      <x:c r="G1655" s="145" t="n">
        <x:v>0.035652298437327014</x:v>
      </x:c>
      <x:c r="H1655" s="145" t="n">
        <x:v>0.5</x:v>
      </x:c>
      <x:c r="I1655" s="136" t="str">
        <x:v>NONPOSITIVE-MODEL-MARGIN</x:v>
      </x:c>
      <x:c r="J1655" s="136" t="str">
        <x:v>V0.7-CONTROLLED-RESEARCH-SCREEN-NOT-DISTRIBUTION</x:v>
      </x:c>
    </x:row>
    <x:row r="1656" ht="22" customHeight="1">
      <x:c r="A1656" s="137" t="str">
        <x:v>SCR-1651</x:v>
      </x:c>
      <x:c r="B1656" s="142" t="n">
        <x:v>0.000002</x:v>
      </x:c>
      <x:c r="C1656" s="142" t="n">
        <x:v>0.0057692307692307696</x:v>
      </x:c>
      <x:c r="D1656" s="160" t="n">
        <x:v>1</x:v>
      </x:c>
      <x:c r="E1656" s="162" t="n">
        <x:v>-3352.613741194413</x:v>
      </x:c>
      <x:c r="F1656" s="162" t="n">
        <x:v>0</x:v>
      </x:c>
      <x:c r="G1656" s="144" t="n">
        <x:v>0.03594120811471151</x:v>
      </x:c>
      <x:c r="H1656" s="144" t="n">
        <x:v>0.5</x:v>
      </x:c>
      <x:c r="I1656" s="137" t="str">
        <x:v>NONPOSITIVE-MODEL-MARGIN</x:v>
      </x:c>
      <x:c r="J1656" s="137" t="str">
        <x:v>V0.7-CONTROLLED-RESEARCH-SCREEN-NOT-DISTRIBUTION</x:v>
      </x:c>
    </x:row>
    <x:row r="1657" ht="22" customHeight="1">
      <x:c r="A1657" s="136" t="str">
        <x:v>SCR-1652</x:v>
      </x:c>
      <x:c r="B1657" s="143" t="n">
        <x:v>0.000002</x:v>
      </x:c>
      <x:c r="C1657" s="143" t="n">
        <x:v>0.006076923076923077</x:v>
      </x:c>
      <x:c r="D1657" s="161" t="n">
        <x:v>1</x:v>
      </x:c>
      <x:c r="E1657" s="163" t="n">
        <x:v>-3369.2275156974347</x:v>
      </x:c>
      <x:c r="F1657" s="163" t="n">
        <x:v>0</x:v>
      </x:c>
      <x:c r="G1657" s="145" t="n">
        <x:v>0.036230117792096</x:v>
      </x:c>
      <x:c r="H1657" s="145" t="n">
        <x:v>0.5</x:v>
      </x:c>
      <x:c r="I1657" s="136" t="str">
        <x:v>NONPOSITIVE-MODEL-MARGIN</x:v>
      </x:c>
      <x:c r="J1657" s="136" t="str">
        <x:v>V0.7-CONTROLLED-RESEARCH-SCREEN-NOT-DISTRIBUTION</x:v>
      </x:c>
    </x:row>
    <x:row r="1658" ht="22" customHeight="1">
      <x:c r="A1658" s="137" t="str">
        <x:v>SCR-1653</x:v>
      </x:c>
      <x:c r="B1658" s="142" t="n">
        <x:v>0.000002</x:v>
      </x:c>
      <x:c r="C1658" s="142" t="n">
        <x:v>0.006384615384615384</x:v>
      </x:c>
      <x:c r="D1658" s="160" t="n">
        <x:v>1</x:v>
      </x:c>
      <x:c r="E1658" s="162" t="n">
        <x:v>-3385.8011706730395</x:v>
      </x:c>
      <x:c r="F1658" s="162" t="n">
        <x:v>0</x:v>
      </x:c>
      <x:c r="G1658" s="144" t="n">
        <x:v>0.0365190274694805</x:v>
      </x:c>
      <x:c r="H1658" s="144" t="n">
        <x:v>0.5</x:v>
      </x:c>
      <x:c r="I1658" s="137" t="str">
        <x:v>NONPOSITIVE-MODEL-MARGIN</x:v>
      </x:c>
      <x:c r="J1658" s="137" t="str">
        <x:v>V0.7-CONTROLLED-RESEARCH-SCREEN-NOT-DISTRIBUTION</x:v>
      </x:c>
    </x:row>
    <x:row r="1659" ht="22" customHeight="1">
      <x:c r="A1659" s="136" t="str">
        <x:v>SCR-1654</x:v>
      </x:c>
      <x:c r="B1659" s="143" t="n">
        <x:v>0.000002</x:v>
      </x:c>
      <x:c r="C1659" s="143" t="n">
        <x:v>0.006692307692307693</x:v>
      </x:c>
      <x:c r="D1659" s="161" t="n">
        <x:v>1</x:v>
      </x:c>
      <x:c r="E1659" s="163" t="n">
        <x:v>-3402.334965538901</x:v>
      </x:c>
      <x:c r="F1659" s="163" t="n">
        <x:v>0</x:v>
      </x:c>
      <x:c r="G1659" s="145" t="n">
        <x:v>0.03680793714686499</x:v>
      </x:c>
      <x:c r="H1659" s="145" t="n">
        <x:v>0.5</x:v>
      </x:c>
      <x:c r="I1659" s="136" t="str">
        <x:v>NONPOSITIVE-MODEL-MARGIN</x:v>
      </x:c>
      <x:c r="J1659" s="136" t="str">
        <x:v>V0.7-CONTROLLED-RESEARCH-SCREEN-NOT-DISTRIBUTION</x:v>
      </x:c>
    </x:row>
    <x:row r="1660" ht="22" customHeight="1">
      <x:c r="A1660" s="137" t="str">
        <x:v>SCR-1655</x:v>
      </x:c>
      <x:c r="B1660" s="142" t="n">
        <x:v>0.000002</x:v>
      </x:c>
      <x:c r="C1660" s="142" t="n">
        <x:v>0.007</x:v>
      </x:c>
      <x:c r="D1660" s="160" t="n">
        <x:v>1</x:v>
      </x:c>
      <x:c r="E1660" s="162" t="n">
        <x:v>-3418.8291562949835</x:v>
      </x:c>
      <x:c r="F1660" s="162" t="n">
        <x:v>0</x:v>
      </x:c>
      <x:c r="G1660" s="144" t="n">
        <x:v>0.037096846824249484</x:v>
      </x:c>
      <x:c r="H1660" s="144" t="n">
        <x:v>0.5</x:v>
      </x:c>
      <x:c r="I1660" s="137" t="str">
        <x:v>NONPOSITIVE-MODEL-MARGIN</x:v>
      </x:c>
      <x:c r="J1660" s="137" t="str">
        <x:v>V0.7-CONTROLLED-RESEARCH-SCREEN-NOT-DISTRIBUTION</x:v>
      </x:c>
    </x:row>
    <x:row r="1661" ht="22" customHeight="1">
      <x:c r="A1661" s="136" t="str">
        <x:v>SCR-1656</x:v>
      </x:c>
      <x:c r="B1661" s="143" t="n">
        <x:v>0.000002</x:v>
      </x:c>
      <x:c r="C1661" s="143" t="n">
        <x:v>0.007307692307692308</x:v>
      </x:c>
      <x:c r="D1661" s="161" t="n">
        <x:v>1</x:v>
      </x:c>
      <x:c r="E1661" s="163" t="n">
        <x:v>-3435.283995587997</x:v>
      </x:c>
      <x:c r="F1661" s="163" t="n">
        <x:v>0</x:v>
      </x:c>
      <x:c r="G1661" s="145" t="n">
        <x:v>0.03738575650163397</x:v>
      </x:c>
      <x:c r="H1661" s="145" t="n">
        <x:v>0.5</x:v>
      </x:c>
      <x:c r="I1661" s="136" t="str">
        <x:v>NONPOSITIVE-MODEL-MARGIN</x:v>
      </x:c>
      <x:c r="J1661" s="136" t="str">
        <x:v>V0.7-CONTROLLED-RESEARCH-SCREEN-NOT-DISTRIBUTION</x:v>
      </x:c>
    </x:row>
    <x:row r="1662" ht="22" customHeight="1">
      <x:c r="A1662" s="137" t="str">
        <x:v>SCR-1657</x:v>
      </x:c>
      <x:c r="B1662" s="142" t="n">
        <x:v>0.000002</x:v>
      </x:c>
      <x:c r="C1662" s="142" t="n">
        <x:v>0.007615384615384616</x:v>
      </x:c>
      <x:c r="D1662" s="160" t="n">
        <x:v>1</x:v>
      </x:c>
      <x:c r="E1662" s="162" t="n">
        <x:v>-3451.699732774267</x:v>
      </x:c>
      <x:c r="F1662" s="162" t="n">
        <x:v>0</x:v>
      </x:c>
      <x:c r="G1662" s="144" t="n">
        <x:v>0.03767466617901847</x:v>
      </x:c>
      <x:c r="H1662" s="144" t="n">
        <x:v>0.5</x:v>
      </x:c>
      <x:c r="I1662" s="137" t="str">
        <x:v>NONPOSITIVE-MODEL-MARGIN</x:v>
      </x:c>
      <x:c r="J1662" s="137" t="str">
        <x:v>V0.7-CONTROLLED-RESEARCH-SCREEN-NOT-DISTRIBUTION</x:v>
      </x:c>
    </x:row>
    <x:row r="1663" ht="22" customHeight="1">
      <x:c r="A1663" s="136" t="str">
        <x:v>SCR-1658</x:v>
      </x:c>
      <x:c r="B1663" s="143" t="n">
        <x:v>0.000002</x:v>
      </x:c>
      <x:c r="C1663" s="143" t="n">
        <x:v>0.007923076923076923</x:v>
      </x:c>
      <x:c r="D1663" s="161" t="n">
        <x:v>1</x:v>
      </x:c>
      <x:c r="E1663" s="163" t="n">
        <x:v>-3468.0766139812076</x:v>
      </x:c>
      <x:c r="F1663" s="163" t="n">
        <x:v>0</x:v>
      </x:c>
      <x:c r="G1663" s="145" t="n">
        <x:v>0.037963575856402955</x:v>
      </x:c>
      <x:c r="H1663" s="145" t="n">
        <x:v>0.5</x:v>
      </x:c>
      <x:c r="I1663" s="136" t="str">
        <x:v>NONPOSITIVE-MODEL-MARGIN</x:v>
      </x:c>
      <x:c r="J1663" s="136" t="str">
        <x:v>V0.7-CONTROLLED-RESEARCH-SCREEN-NOT-DISTRIBUTION</x:v>
      </x:c>
    </x:row>
    <x:row r="1664" ht="22" customHeight="1">
      <x:c r="A1664" s="137" t="str">
        <x:v>SCR-1659</x:v>
      </x:c>
      <x:c r="B1664" s="142" t="n">
        <x:v>0.000002</x:v>
      </x:c>
      <x:c r="C1664" s="142" t="n">
        <x:v>0.00823076923076923</x:v>
      </x:c>
      <x:c r="D1664" s="160" t="n">
        <x:v>1</x:v>
      </x:c>
      <x:c r="E1664" s="162" t="n">
        <x:v>-3484.414882167279</x:v>
      </x:c>
      <x:c r="F1664" s="162" t="n">
        <x:v>0</x:v>
      </x:c>
      <x:c r="G1664" s="144" t="n">
        <x:v>0.03825248553378745</x:v>
      </x:c>
      <x:c r="H1664" s="144" t="n">
        <x:v>0.5</x:v>
      </x:c>
      <x:c r="I1664" s="137" t="str">
        <x:v>NONPOSITIVE-MODEL-MARGIN</x:v>
      </x:c>
      <x:c r="J1664" s="137" t="str">
        <x:v>V0.7-CONTROLLED-RESEARCH-SCREEN-NOT-DISTRIBUTION</x:v>
      </x:c>
    </x:row>
    <x:row r="1665" ht="22" customHeight="1">
      <x:c r="A1665" s="136" t="str">
        <x:v>SCR-1660</x:v>
      </x:c>
      <x:c r="B1665" s="143" t="n">
        <x:v>0.000002</x:v>
      </x:c>
      <x:c r="C1665" s="143" t="n">
        <x:v>0.00853846153846154</x:v>
      </x:c>
      <x:c r="D1665" s="161" t="n">
        <x:v>1</x:v>
      </x:c>
      <x:c r="E1665" s="163" t="n">
        <x:v>-3500.714777180585</x:v>
      </x:c>
      <x:c r="F1665" s="163" t="n">
        <x:v>0</x:v>
      </x:c>
      <x:c r="G1665" s="145" t="n">
        <x:v>0.03854139521117194</x:v>
      </x:c>
      <x:c r="H1665" s="145" t="n">
        <x:v>0.5</x:v>
      </x:c>
      <x:c r="I1665" s="136" t="str">
        <x:v>NONPOSITIVE-MODEL-MARGIN</x:v>
      </x:c>
      <x:c r="J1665" s="136" t="str">
        <x:v>V0.7-CONTROLLED-RESEARCH-SCREEN-NOT-DISTRIBUTION</x:v>
      </x:c>
    </x:row>
    <x:row r="1666" ht="22" customHeight="1">
      <x:c r="A1666" s="137" t="str">
        <x:v>SCR-1661</x:v>
      </x:c>
      <x:c r="B1666" s="142" t="n">
        <x:v>0.000002</x:v>
      </x:c>
      <x:c r="C1666" s="142" t="n">
        <x:v>0.008846153846153847</x:v>
      </x:c>
      <x:c r="D1666" s="160" t="n">
        <x:v>1</x:v>
      </x:c>
      <x:c r="E1666" s="162" t="n">
        <x:v>-3516.9765358161285</x:v>
      </x:c>
      <x:c r="F1666" s="162" t="n">
        <x:v>0</x:v>
      </x:c>
      <x:c r="G1666" s="144" t="n">
        <x:v>0.03883030488855643</x:v>
      </x:c>
      <x:c r="H1666" s="144" t="n">
        <x:v>0.5</x:v>
      </x:c>
      <x:c r="I1666" s="137" t="str">
        <x:v>NONPOSITIVE-MODEL-MARGIN</x:v>
      </x:c>
      <x:c r="J1666" s="137" t="str">
        <x:v>V0.7-CONTROLLED-RESEARCH-SCREEN-NOT-DISTRIBUTION</x:v>
      </x:c>
    </x:row>
    <x:row r="1667" ht="22" customHeight="1">
      <x:c r="A1667" s="136" t="str">
        <x:v>SCR-1662</x:v>
      </x:c>
      <x:c r="B1667" s="143" t="n">
        <x:v>0.000002</x:v>
      </x:c>
      <x:c r="C1667" s="143" t="n">
        <x:v>0.009153846153846155</x:v>
      </x:c>
      <x:c r="D1667" s="161" t="n">
        <x:v>1</x:v>
      </x:c>
      <x:c r="E1667" s="163" t="n">
        <x:v>-3533.200391871662</x:v>
      </x:c>
      <x:c r="F1667" s="163" t="n">
        <x:v>0</x:v>
      </x:c>
      <x:c r="G1667" s="145" t="n">
        <x:v>0.039119214565940925</x:v>
      </x:c>
      <x:c r="H1667" s="145" t="n">
        <x:v>0.5</x:v>
      </x:c>
      <x:c r="I1667" s="136" t="str">
        <x:v>NONPOSITIVE-MODEL-MARGIN</x:v>
      </x:c>
      <x:c r="J1667" s="136" t="str">
        <x:v>V0.7-CONTROLLED-RESEARCH-SCREEN-NOT-DISTRIBUTION</x:v>
      </x:c>
    </x:row>
    <x:row r="1668" ht="22" customHeight="1">
      <x:c r="A1668" s="137" t="str">
        <x:v>SCR-1663</x:v>
      </x:c>
      <x:c r="B1668" s="142" t="n">
        <x:v>0.000002</x:v>
      </x:c>
      <x:c r="C1668" s="142" t="n">
        <x:v>0.009461538461538462</x:v>
      </x:c>
      <x:c r="D1668" s="160" t="n">
        <x:v>1</x:v>
      </x:c>
      <x:c r="E1668" s="162" t="n">
        <x:v>-3549.386576202344</x:v>
      </x:c>
      <x:c r="F1668" s="162" t="n">
        <x:v>0</x:v>
      </x:c>
      <x:c r="G1668" s="144" t="n">
        <x:v>0.03940812424332541</x:v>
      </x:c>
      <x:c r="H1668" s="144" t="n">
        <x:v>0.5</x:v>
      </x:c>
      <x:c r="I1668" s="137" t="str">
        <x:v>NONPOSITIVE-MODEL-MARGIN</x:v>
      </x:c>
      <x:c r="J1668" s="137" t="str">
        <x:v>V0.7-CONTROLLED-RESEARCH-SCREEN-NOT-DISTRIBUTION</x:v>
      </x:c>
    </x:row>
    <x:row r="1669" ht="22" customHeight="1">
      <x:c r="A1669" s="136" t="str">
        <x:v>SCR-1664</x:v>
      </x:c>
      <x:c r="B1669" s="143" t="n">
        <x:v>0.000002</x:v>
      </x:c>
      <x:c r="C1669" s="143" t="n">
        <x:v>0.00976923076923077</x:v>
      </x:c>
      <x:c r="D1669" s="161" t="n">
        <x:v>1</x:v>
      </x:c>
      <x:c r="E1669" s="163" t="n">
        <x:v>-3565.5353167740445</x:v>
      </x:c>
      <x:c r="F1669" s="163" t="n">
        <x:v>0</x:v>
      </x:c>
      <x:c r="G1669" s="145" t="n">
        <x:v>0.03969703392070991</x:v>
      </x:c>
      <x:c r="H1669" s="145" t="n">
        <x:v>0.5</x:v>
      </x:c>
      <x:c r="I1669" s="136" t="str">
        <x:v>NONPOSITIVE-MODEL-MARGIN</x:v>
      </x:c>
      <x:c r="J1669" s="136" t="str">
        <x:v>V0.7-CONTROLLED-RESEARCH-SCREEN-NOT-DISTRIBUTION</x:v>
      </x:c>
    </x:row>
    <x:row r="1670" ht="22" customHeight="1">
      <x:c r="A1670" s="137" t="str">
        <x:v>SCR-1665</x:v>
      </x:c>
      <x:c r="B1670" s="142" t="n">
        <x:v>0.000002</x:v>
      </x:c>
      <x:c r="C1670" s="142" t="n">
        <x:v>0.010076923076923077</x:v>
      </x:c>
      <x:c r="D1670" s="160" t="n">
        <x:v>1</x:v>
      </x:c>
      <x:c r="E1670" s="162" t="n">
        <x:v>-3578.4684187713574</x:v>
      </x:c>
      <x:c r="F1670" s="162" t="n">
        <x:v>0</x:v>
      </x:c>
      <x:c r="G1670" s="144" t="n">
        <x:v>0.0399859435980944</x:v>
      </x:c>
      <x:c r="H1670" s="144" t="n">
        <x:v>0.5</x:v>
      </x:c>
      <x:c r="I1670" s="137" t="str">
        <x:v>NONPOSITIVE-MODEL-MARGIN</x:v>
      </x:c>
      <x:c r="J1670" s="137" t="str">
        <x:v>V0.7-CONTROLLED-RESEARCH-SCREEN-NOT-DISTRIBUTION</x:v>
      </x:c>
    </x:row>
    <x:row r="1671" ht="22" customHeight="1">
      <x:c r="A1671" s="136" t="str">
        <x:v>SCR-1666</x:v>
      </x:c>
      <x:c r="B1671" s="143" t="n">
        <x:v>0.000002</x:v>
      </x:c>
      <x:c r="C1671" s="143" t="n">
        <x:v>0.010384615384615384</x:v>
      </x:c>
      <x:c r="D1671" s="161" t="n">
        <x:v>1</x:v>
      </x:c>
      <x:c r="E1671" s="163" t="n">
        <x:v>-3594.550444717223</x:v>
      </x:c>
      <x:c r="F1671" s="163" t="n">
        <x:v>0</x:v>
      </x:c>
      <x:c r="G1671" s="145" t="n">
        <x:v>0.04027485327547889</x:v>
      </x:c>
      <x:c r="H1671" s="145" t="n">
        <x:v>0.5</x:v>
      </x:c>
      <x:c r="I1671" s="136" t="str">
        <x:v>NONPOSITIVE-MODEL-MARGIN</x:v>
      </x:c>
      <x:c r="J1671" s="136" t="str">
        <x:v>V0.7-CONTROLLED-RESEARCH-SCREEN-NOT-DISTRIBUTION</x:v>
      </x:c>
    </x:row>
    <x:row r="1672" ht="22" customHeight="1">
      <x:c r="A1672" s="137" t="str">
        <x:v>SCR-1667</x:v>
      </x:c>
      <x:c r="B1672" s="142" t="n">
        <x:v>0.000002</x:v>
      </x:c>
      <x:c r="C1672" s="142" t="n">
        <x:v>0.010692307692307692</x:v>
      </x:c>
      <x:c r="D1672" s="160" t="n">
        <x:v>1</x:v>
      </x:c>
      <x:c r="E1672" s="162" t="n">
        <x:v>-3610.595642612323</x:v>
      </x:c>
      <x:c r="F1672" s="162" t="n">
        <x:v>0</x:v>
      </x:c>
      <x:c r="G1672" s="144" t="n">
        <x:v>0.04056376295286339</x:v>
      </x:c>
      <x:c r="H1672" s="144" t="n">
        <x:v>0.5</x:v>
      </x:c>
      <x:c r="I1672" s="137" t="str">
        <x:v>NONPOSITIVE-MODEL-MARGIN</x:v>
      </x:c>
      <x:c r="J1672" s="137" t="str">
        <x:v>V0.7-CONTROLLED-RESEARCH-SCREEN-NOT-DISTRIBUTION</x:v>
      </x:c>
    </x:row>
    <x:row r="1673" ht="22" customHeight="1">
      <x:c r="A1673" s="136" t="str">
        <x:v>SCR-1668</x:v>
      </x:c>
      <x:c r="B1673" s="143" t="n">
        <x:v>0.000002</x:v>
      </x:c>
      <x:c r="C1673" s="143" t="n">
        <x:v>0.011</x:v>
      </x:c>
      <x:c r="D1673" s="161" t="n">
        <x:v>1</x:v>
      </x:c>
      <x:c r="E1673" s="163" t="n">
        <x:v>-3626.6042301054304</x:v>
      </x:c>
      <x:c r="F1673" s="163" t="n">
        <x:v>0</x:v>
      </x:c>
      <x:c r="G1673" s="145" t="n">
        <x:v>0.04085267263024788</x:v>
      </x:c>
      <x:c r="H1673" s="145" t="n">
        <x:v>0.5</x:v>
      </x:c>
      <x:c r="I1673" s="136" t="str">
        <x:v>NONPOSITIVE-MODEL-MARGIN</x:v>
      </x:c>
      <x:c r="J1673" s="136" t="str">
        <x:v>V0.7-CONTROLLED-RESEARCH-SCREEN-NOT-DISTRIBUTION</x:v>
      </x:c>
    </x:row>
    <x:row r="1674" ht="22" customHeight="1">
      <x:c r="A1674" s="137" t="str">
        <x:v>SCR-1669</x:v>
      </x:c>
      <x:c r="B1674" s="142" t="n">
        <x:v>0.000002</x:v>
      </x:c>
      <x:c r="C1674" s="142" t="n">
        <x:v>0.011307692307692307</x:v>
      </x:c>
      <x:c r="D1674" s="160" t="n">
        <x:v>1</x:v>
      </x:c>
      <x:c r="E1674" s="162" t="n">
        <x:v>-3642.576422189596</x:v>
      </x:c>
      <x:c r="F1674" s="162" t="n">
        <x:v>0</x:v>
      </x:c>
      <x:c r="G1674" s="144" t="n">
        <x:v>0.04114158230763237</x:v>
      </x:c>
      <x:c r="H1674" s="144" t="n">
        <x:v>0.5</x:v>
      </x:c>
      <x:c r="I1674" s="137" t="str">
        <x:v>NONPOSITIVE-MODEL-MARGIN</x:v>
      </x:c>
      <x:c r="J1674" s="137" t="str">
        <x:v>V0.7-CONTROLLED-RESEARCH-SCREEN-NOT-DISTRIBUTION</x:v>
      </x:c>
    </x:row>
    <x:row r="1675" ht="22" customHeight="1">
      <x:c r="A1675" s="136" t="str">
        <x:v>SCR-1670</x:v>
      </x:c>
      <x:c r="B1675" s="143" t="n">
        <x:v>0.000002</x:v>
      </x:c>
      <x:c r="C1675" s="143" t="n">
        <x:v>0.011615384615384614</x:v>
      </x:c>
      <x:c r="D1675" s="161" t="n">
        <x:v>1</x:v>
      </x:c>
      <x:c r="E1675" s="163" t="n">
        <x:v>-3658.5124312490675</x:v>
      </x:c>
      <x:c r="F1675" s="163" t="n">
        <x:v>0</x:v>
      </x:c>
      <x:c r="G1675" s="145" t="n">
        <x:v>0.04143049198501686</x:v>
      </x:c>
      <x:c r="H1675" s="145" t="n">
        <x:v>0.5</x:v>
      </x:c>
      <x:c r="I1675" s="136" t="str">
        <x:v>NONPOSITIVE-MODEL-MARGIN</x:v>
      </x:c>
      <x:c r="J1675" s="136" t="str">
        <x:v>V0.7-CONTROLLED-RESEARCH-SCREEN-NOT-DISTRIBUTION</x:v>
      </x:c>
    </x:row>
    <x:row r="1676" ht="22" customHeight="1">
      <x:c r="A1676" s="137" t="str">
        <x:v>SCR-1671</x:v>
      </x:c>
      <x:c r="B1676" s="142" t="n">
        <x:v>0.000002</x:v>
      </x:c>
      <x:c r="C1676" s="142" t="n">
        <x:v>0.011923076923076925</x:v>
      </x:c>
      <x:c r="D1676" s="160" t="n">
        <x:v>1</x:v>
      </x:c>
      <x:c r="E1676" s="162" t="n">
        <x:v>-3674.4124671051477</x:v>
      </x:c>
      <x:c r="F1676" s="162" t="n">
        <x:v>0</x:v>
      </x:c>
      <x:c r="G1676" s="144" t="n">
        <x:v>0.04171940166240136</x:v>
      </x:c>
      <x:c r="H1676" s="144" t="n">
        <x:v>0.5</x:v>
      </x:c>
      <x:c r="I1676" s="137" t="str">
        <x:v>NONPOSITIVE-MODEL-MARGIN</x:v>
      </x:c>
      <x:c r="J1676" s="137" t="str">
        <x:v>V0.7-CONTROLLED-RESEARCH-SCREEN-NOT-DISTRIBUTION</x:v>
      </x:c>
    </x:row>
    <x:row r="1677" ht="22" customHeight="1">
      <x:c r="A1677" s="136" t="str">
        <x:v>SCR-1672</x:v>
      </x:c>
      <x:c r="B1677" s="143" t="n">
        <x:v>0.000002</x:v>
      </x:c>
      <x:c r="C1677" s="143" t="n">
        <x:v>0.012230769230769233</x:v>
      </x:c>
      <x:c r="D1677" s="161" t="n">
        <x:v>1</x:v>
      </x:c>
      <x:c r="E1677" s="163" t="n">
        <x:v>-3690.2767370609877</x:v>
      </x:c>
      <x:c r="F1677" s="163" t="n">
        <x:v>0</x:v>
      </x:c>
      <x:c r="G1677" s="145" t="n">
        <x:v>0.042008311339785845</x:v>
      </x:c>
      <x:c r="H1677" s="145" t="n">
        <x:v>0.5</x:v>
      </x:c>
      <x:c r="I1677" s="136" t="str">
        <x:v>NONPOSITIVE-MODEL-MARGIN</x:v>
      </x:c>
      <x:c r="J1677" s="136" t="str">
        <x:v>V0.7-CONTROLLED-RESEARCH-SCREEN-NOT-DISTRIBUTION</x:v>
      </x:c>
    </x:row>
    <x:row r="1678" ht="22" customHeight="1">
      <x:c r="A1678" s="137" t="str">
        <x:v>SCR-1673</x:v>
      </x:c>
      <x:c r="B1678" s="142" t="n">
        <x:v>0.000002</x:v>
      </x:c>
      <x:c r="C1678" s="142" t="n">
        <x:v>0.01253846153846154</x:v>
      </x:c>
      <x:c r="D1678" s="160" t="n">
        <x:v>1</x:v>
      </x:c>
      <x:c r="E1678" s="162" t="n">
        <x:v>-3706.105445945394</x:v>
      </x:c>
      <x:c r="F1678" s="162" t="n">
        <x:v>0</x:v>
      </x:c>
      <x:c r="G1678" s="144" t="n">
        <x:v>0.04229722101717034</x:v>
      </x:c>
      <x:c r="H1678" s="144" t="n">
        <x:v>0.5</x:v>
      </x:c>
      <x:c r="I1678" s="137" t="str">
        <x:v>NONPOSITIVE-MODEL-MARGIN</x:v>
      </x:c>
      <x:c r="J1678" s="137" t="str">
        <x:v>V0.7-CONTROLLED-RESEARCH-SCREEN-NOT-DISTRIBUTION</x:v>
      </x:c>
    </x:row>
    <x:row r="1679" ht="22" customHeight="1">
      <x:c r="A1679" s="136" t="str">
        <x:v>SCR-1674</x:v>
      </x:c>
      <x:c r="B1679" s="143" t="n">
        <x:v>0.000002</x:v>
      </x:c>
      <x:c r="C1679" s="143" t="n">
        <x:v>0.012846153846153847</x:v>
      </x:c>
      <x:c r="D1679" s="161" t="n">
        <x:v>1</x:v>
      </x:c>
      <x:c r="E1679" s="163" t="n">
        <x:v>-3721.898796155695</x:v>
      </x:c>
      <x:c r="F1679" s="163" t="n">
        <x:v>0</x:v>
      </x:c>
      <x:c r="G1679" s="145" t="n">
        <x:v>0.04258613069455483</x:v>
      </x:c>
      <x:c r="H1679" s="145" t="n">
        <x:v>0.5</x:v>
      </x:c>
      <x:c r="I1679" s="136" t="str">
        <x:v>NONPOSITIVE-MODEL-MARGIN</x:v>
      </x:c>
      <x:c r="J1679" s="136" t="str">
        <x:v>V0.7-CONTROLLED-RESEARCH-SCREEN-NOT-DISTRIBUTION</x:v>
      </x:c>
    </x:row>
    <x:row r="1680" ht="22" customHeight="1">
      <x:c r="A1680" s="137" t="str">
        <x:v>SCR-1675</x:v>
      </x:c>
      <x:c r="B1680" s="142" t="n">
        <x:v>0.000002</x:v>
      </x:c>
      <x:c r="C1680" s="142" t="n">
        <x:v>0.013153846153846155</x:v>
      </x:c>
      <x:c r="D1680" s="160" t="n">
        <x:v>1</x:v>
      </x:c>
      <x:c r="E1680" s="162" t="n">
        <x:v>-3737.6569876995804</x:v>
      </x:c>
      <x:c r="F1680" s="162" t="n">
        <x:v>0</x:v>
      </x:c>
      <x:c r="G1680" s="144" t="n">
        <x:v>0.042875040371939316</x:v>
      </x:c>
      <x:c r="H1680" s="144" t="n">
        <x:v>0.5</x:v>
      </x:c>
      <x:c r="I1680" s="137" t="str">
        <x:v>NONPOSITIVE-MODEL-MARGIN</x:v>
      </x:c>
      <x:c r="J1680" s="137" t="str">
        <x:v>V0.7-CONTROLLED-RESEARCH-SCREEN-NOT-DISTRIBUTION</x:v>
      </x:c>
    </x:row>
    <x:row r="1681" ht="22" customHeight="1">
      <x:c r="A1681" s="136" t="str">
        <x:v>SCR-1676</x:v>
      </x:c>
      <x:c r="B1681" s="143" t="n">
        <x:v>0.000002</x:v>
      </x:c>
      <x:c r="C1681" s="143" t="n">
        <x:v>0.013461538461538462</x:v>
      </x:c>
      <x:c r="D1681" s="161" t="n">
        <x:v>1</x:v>
      </x:c>
      <x:c r="E1681" s="163" t="n">
        <x:v>-3750.281591833271</x:v>
      </x:c>
      <x:c r="F1681" s="163" t="n">
        <x:v>0</x:v>
      </x:c>
      <x:c r="G1681" s="145" t="n">
        <x:v>0.043163950049323815</x:v>
      </x:c>
      <x:c r="H1681" s="145" t="n">
        <x:v>0.5</x:v>
      </x:c>
      <x:c r="I1681" s="136" t="str">
        <x:v>NONPOSITIVE-MODEL-MARGIN</x:v>
      </x:c>
      <x:c r="J1681" s="136" t="str">
        <x:v>V0.7-CONTROLLED-RESEARCH-SCREEN-NOT-DISTRIBUTION</x:v>
      </x:c>
    </x:row>
    <x:row r="1682" ht="22" customHeight="1">
      <x:c r="A1682" s="137" t="str">
        <x:v>SCR-1677</x:v>
      </x:c>
      <x:c r="B1682" s="142" t="n">
        <x:v>0.000002</x:v>
      </x:c>
      <x:c r="C1682" s="142" t="n">
        <x:v>0.01376923076923077</x:v>
      </x:c>
      <x:c r="D1682" s="160" t="n">
        <x:v>1</x:v>
      </x:c>
      <x:c r="E1682" s="162" t="n">
        <x:v>-3765.977029709963</x:v>
      </x:c>
      <x:c r="F1682" s="162" t="n">
        <x:v>0</x:v>
      </x:c>
      <x:c r="G1682" s="144" t="n">
        <x:v>0.0434528597267083</x:v>
      </x:c>
      <x:c r="H1682" s="144" t="n">
        <x:v>0.5</x:v>
      </x:c>
      <x:c r="I1682" s="137" t="str">
        <x:v>NONPOSITIVE-MODEL-MARGIN</x:v>
      </x:c>
      <x:c r="J1682" s="137" t="str">
        <x:v>V0.7-CONTROLLED-RESEARCH-SCREEN-NOT-DISTRIBUTION</x:v>
      </x:c>
    </x:row>
    <x:row r="1683" ht="22" customHeight="1">
      <x:c r="A1683" s="136" t="str">
        <x:v>SCR-1678</x:v>
      </x:c>
      <x:c r="B1683" s="143" t="n">
        <x:v>0.000002</x:v>
      </x:c>
      <x:c r="C1683" s="143" t="n">
        <x:v>0.014076923076923077</x:v>
      </x:c>
      <x:c r="D1683" s="161" t="n">
        <x:v>1</x:v>
      </x:c>
      <x:c r="E1683" s="163" t="n">
        <x:v>-3781.6378508943894</x:v>
      </x:c>
      <x:c r="F1683" s="163" t="n">
        <x:v>0</x:v>
      </x:c>
      <x:c r="G1683" s="145" t="n">
        <x:v>0.043741769404092794</x:v>
      </x:c>
      <x:c r="H1683" s="145" t="n">
        <x:v>0.5</x:v>
      </x:c>
      <x:c r="I1683" s="136" t="str">
        <x:v>NONPOSITIVE-MODEL-MARGIN</x:v>
      </x:c>
      <x:c r="J1683" s="136" t="str">
        <x:v>V0.7-CONTROLLED-RESEARCH-SCREEN-NOT-DISTRIBUTION</x:v>
      </x:c>
    </x:row>
    <x:row r="1684" ht="22" customHeight="1">
      <x:c r="A1684" s="137" t="str">
        <x:v>SCR-1679</x:v>
      </x:c>
      <x:c r="B1684" s="142" t="n">
        <x:v>0.000002</x:v>
      </x:c>
      <x:c r="C1684" s="142" t="n">
        <x:v>0.014384615384615385</x:v>
      </x:c>
      <x:c r="D1684" s="160" t="n">
        <x:v>1</x:v>
      </x:c>
      <x:c r="E1684" s="162" t="n">
        <x:v>-3797.2642468185913</x:v>
      </x:c>
      <x:c r="F1684" s="162" t="n">
        <x:v>0</x:v>
      </x:c>
      <x:c r="G1684" s="144" t="n">
        <x:v>0.044030679081477286</x:v>
      </x:c>
      <x:c r="H1684" s="144" t="n">
        <x:v>0.5</x:v>
      </x:c>
      <x:c r="I1684" s="137" t="str">
        <x:v>NONPOSITIVE-MODEL-MARGIN</x:v>
      </x:c>
      <x:c r="J1684" s="137" t="str">
        <x:v>V0.7-CONTROLLED-RESEARCH-SCREEN-NOT-DISTRIBUTION</x:v>
      </x:c>
    </x:row>
    <x:row r="1685" ht="22" customHeight="1">
      <x:c r="A1685" s="136" t="str">
        <x:v>SCR-1680</x:v>
      </x:c>
      <x:c r="B1685" s="143" t="n">
        <x:v>0.000002</x:v>
      </x:c>
      <x:c r="C1685" s="143" t="n">
        <x:v>0.014692307692307692</x:v>
      </x:c>
      <x:c r="D1685" s="161" t="n">
        <x:v>1</x:v>
      </x:c>
      <x:c r="E1685" s="163" t="n">
        <x:v>-3812.856406709588</x:v>
      </x:c>
      <x:c r="F1685" s="163" t="n">
        <x:v>0</x:v>
      </x:c>
      <x:c r="G1685" s="145" t="n">
        <x:v>0.04431958875886177</x:v>
      </x:c>
      <x:c r="H1685" s="145" t="n">
        <x:v>0.5</x:v>
      </x:c>
      <x:c r="I1685" s="136" t="str">
        <x:v>NONPOSITIVE-MODEL-MARGIN</x:v>
      </x:c>
      <x:c r="J1685" s="136" t="str">
        <x:v>V0.7-CONTROLLED-RESEARCH-SCREEN-NOT-DISTRIBUTION</x:v>
      </x:c>
    </x:row>
    <x:row r="1686" ht="22" customHeight="1">
      <x:c r="A1686" s="137" t="str">
        <x:v>SCR-1681</x:v>
      </x:c>
      <x:c r="B1686" s="142" t="n">
        <x:v>0.000002</x:v>
      </x:c>
      <x:c r="C1686" s="142" t="n">
        <x:v>0.015</x:v>
      </x:c>
      <x:c r="D1686" s="160" t="n">
        <x:v>1</x:v>
      </x:c>
      <x:c r="E1686" s="162" t="n">
        <x:v>-3828.414517626367</x:v>
      </x:c>
      <x:c r="F1686" s="162" t="n">
        <x:v>0</x:v>
      </x:c>
      <x:c r="G1686" s="144" t="n">
        <x:v>0.044608498436246265</x:v>
      </x:c>
      <x:c r="H1686" s="144" t="n">
        <x:v>0.5</x:v>
      </x:c>
      <x:c r="I1686" s="137" t="str">
        <x:v>NONPOSITIVE-MODEL-MARGIN</x:v>
      </x:c>
      <x:c r="J1686" s="137" t="str">
        <x:v>V0.7-CONTROLLED-RESEARCH-SCREEN-NOT-DISTRIBUTION</x:v>
      </x:c>
    </x:row>
  </x:sheetData>
  <x:mergeCells>
    <x:mergeCell ref="A1:J2"/>
    <x:mergeCell ref="A3:J3"/>
  </x:mergeCells>
  <x:conditionalFormatting sqref="I6:I1686">
    <x:cfRule type="containsText" dxfId="32" priority="1" operator="containsText" text="PASS"/>
    <x:cfRule type="containsText" dxfId="33" priority="2" operator="containsText" text="POSITIVE"/>
    <x:cfRule type="containsText" dxfId="34" priority="3" operator="containsText" text="BLOCKED"/>
    <x:cfRule type="containsText" dxfId="35" priority="4" operator="containsText" text="PROHIBITED"/>
    <x:cfRule type="containsText" dxfId="36" priority="5" operator="containsText" text="NONPOSITIVE"/>
    <x:cfRule type="containsText" dxfId="37" priority="6" operator="containsText" text="NOT-"/>
    <x:cfRule type="containsText" dxfId="38" priority="7" operator="containsText" text="UNMAPPED"/>
    <x:cfRule type="containsText" dxfId="39" priority="8" operator="containsText" text="QUARANTIN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2" hidden="0" customWidth="1"/>
    <x:col min="4" max="4" width="22" hidden="0" customWidth="1"/>
    <x:col min="5" max="5" width="22" hidden="0" customWidth="1"/>
    <x:col min="6" max="6" width="28" hidden="0" customWidth="1"/>
    <x:col min="7" max="7" width="22" hidden="0" customWidth="1"/>
  </x:cols>
  <x:sheetData>
    <x:row r="1" ht="27" customHeight="1">
      <x:c r="A1" s="3" t="str">
        <x:v>Regression and boundary-invariant tests | 12/12 PASS</x:v>
      </x:c>
      <x:c r="B1" s="3" t="str">
        <x:v>Regression and boundary-invariant tests | 12/12 PASS</x:v>
      </x:c>
      <x:c r="C1" s="3" t="str">
        <x:v>Regression and boundary-invariant tests | 12/12 PASS</x:v>
      </x:c>
      <x:c r="D1" s="3" t="str">
        <x:v>Regression and boundary-invariant tests | 12/12 PASS</x:v>
      </x:c>
      <x:c r="E1" s="3" t="str">
        <x:v>Regression and boundary-invariant tests | 12/12 PASS</x:v>
      </x:c>
      <x:c r="F1" s="3" t="str">
        <x:v>Regression and boundary-invariant tests | 12/12 PASS</x:v>
      </x:c>
      <x:c r="G1" s="3" t="str">
        <x:v>Regression and boundary-invariant tests | 12/12 PASS</x:v>
      </x:c>
    </x:row>
    <x:row r="2" ht="27" customHeight="1">
      <x:c r="A2" s="3" t="str">
        <x:v>Regression and boundary-invariant tests | 12/12 PASS</x:v>
      </x:c>
      <x:c r="B2" s="3" t="str">
        <x:v>Regression and boundary-invariant tests | 12/12 PASS</x:v>
      </x:c>
      <x:c r="C2" s="3" t="str">
        <x:v>Regression and boundary-invariant tests | 12/12 PASS</x:v>
      </x:c>
      <x:c r="D2" s="3" t="str">
        <x:v>Regression and boundary-invariant tests | 12/12 PASS</x:v>
      </x:c>
      <x:c r="E2" s="3" t="str">
        <x:v>Regression and boundary-invariant tests | 12/12 PASS</x:v>
      </x:c>
      <x:c r="F2" s="3" t="str">
        <x:v>Regression and boundary-invariant tests | 12/12 PASS</x:v>
      </x:c>
      <x:c r="G2" s="3" t="str">
        <x:v>Regression and boundary-invariant tests | 12/12 PASS</x:v>
      </x:c>
    </x:row>
    <x:row r="3" ht="32" customHeight="1">
      <x:c r="A3" s="7" t="str">
        <x:v>Tests prove bounded software behavior only; they do not validate a device, proof implementation or physical system.</x:v>
      </x:c>
      <x:c r="B3" s="7" t="str">
        <x:v>Tests prove bounded software behavior only; they do not validate a device, proof implementation or physical system.</x:v>
      </x:c>
      <x:c r="C3" s="7" t="str">
        <x:v>Tests prove bounded software behavior only; they do not validate a device, proof implementation or physical system.</x:v>
      </x:c>
      <x:c r="D3" s="7" t="str">
        <x:v>Tests prove bounded software behavior only; they do not validate a device, proof implementation or physical system.</x:v>
      </x:c>
      <x:c r="E3" s="7" t="str">
        <x:v>Tests prove bounded software behavior only; they do not validate a device, proof implementation or physical system.</x:v>
      </x:c>
      <x:c r="F3" s="7" t="str">
        <x:v>Tests prove bounded software behavior only; they do not validate a device, proof implementation or physical system.</x:v>
      </x:c>
      <x:c r="G3" s="7" t="str">
        <x:v>Tests prove bounded software behavior only; they do not validate a device, proof implementation or physical system.</x:v>
      </x:c>
    </x:row>
    <x:row r="5" ht="38" customHeight="1">
      <x:c r="A5" s="13" t="str">
        <x:v>test_id</x:v>
      </x:c>
      <x:c r="B5" s="13" t="str">
        <x:v>test</x:v>
      </x:c>
      <x:c r="C5" s="13" t="str">
        <x:v>observed</x:v>
      </x:c>
      <x:c r="D5" s="13" t="str">
        <x:v>expected</x:v>
      </x:c>
      <x:c r="E5" s="13" t="str">
        <x:v>absolute_tolerance</x:v>
      </x:c>
      <x:c r="F5" s="13" t="str">
        <x:v>result</x:v>
      </x:c>
      <x:c r="G5" s="13" t="str">
        <x:v>claim_limit</x:v>
      </x:c>
    </x:row>
    <x:row r="6" ht="34" customHeight="1">
      <x:c r="A6" s="137" t="str">
        <x:v>REG-001</x:v>
      </x:c>
      <x:c r="B6" s="137" t="str">
        <x:v>V0.6 fixture reproduction: half_window_s</x:v>
      </x:c>
      <x:c r="C6" s="142" t="n">
        <x:v>102</x:v>
      </x:c>
      <x:c r="D6" s="142" t="n">
        <x:v>102</x:v>
      </x:c>
      <x:c r="E6" s="142" t="n">
        <x:v>0</x:v>
      </x:c>
      <x:c r="F6" s="137" t="str">
        <x:v>PASS</x:v>
      </x:c>
      <x:c r="G6" s="137" t="str">
        <x:v>Software regression only</x:v>
      </x:c>
    </x:row>
    <x:row r="7" ht="34" customHeight="1">
      <x:c r="A7" s="136" t="str">
        <x:v>REG-002</x:v>
      </x:c>
      <x:c r="B7" s="136" t="str">
        <x:v>V0.6 fixture reproduction: secret_key_bits</x:v>
      </x:c>
      <x:c r="C7" s="143" t="n">
        <x:v>41338</x:v>
      </x:c>
      <x:c r="D7" s="143" t="n">
        <x:v>41338</x:v>
      </x:c>
      <x:c r="E7" s="143" t="n">
        <x:v>0</x:v>
      </x:c>
      <x:c r="F7" s="136" t="str">
        <x:v>PASS</x:v>
      </x:c>
      <x:c r="G7" s="136" t="str">
        <x:v>Software regression only</x:v>
      </x:c>
    </x:row>
    <x:row r="8" ht="34" customHeight="1">
      <x:c r="A8" s="137" t="str">
        <x:v>REG-003</x:v>
      </x:c>
      <x:c r="B8" s="137" t="str">
        <x:v>V0.6 fixture reproduction: raw_secret_key_bits</x:v>
      </x:c>
      <x:c r="C8" s="142" t="n">
        <x:v>41338.62418456675</x:v>
      </x:c>
      <x:c r="D8" s="142" t="n">
        <x:v>41338.62418456675</x:v>
      </x:c>
      <x:c r="E8" s="142" t="n">
        <x:v>1e-8</x:v>
      </x:c>
      <x:c r="F8" s="137" t="str">
        <x:v>PASS</x:v>
      </x:c>
      <x:c r="G8" s="137" t="str">
        <x:v>Software regression only</x:v>
      </x:c>
    </x:row>
    <x:row r="9" ht="34" customHeight="1">
      <x:c r="A9" s="136" t="str">
        <x:v>REG-004</x:v>
      </x:c>
      <x:c r="B9" s="136" t="str">
        <x:v>V0.6 fixture reproduction: qber_x</x:v>
      </x:c>
      <x:c r="C9" s="143" t="n">
        <x:v>0.017422686665352745</x:v>
      </x:c>
      <x:c r="D9" s="143" t="n">
        <x:v>0.017422686665352745</x:v>
      </x:c>
      <x:c r="E9" s="143" t="n">
        <x:v>1e-12</x:v>
      </x:c>
      <x:c r="F9" s="136" t="str">
        <x:v>PASS</x:v>
      </x:c>
      <x:c r="G9" s="136" t="str">
        <x:v>Software regression only</x:v>
      </x:c>
    </x:row>
    <x:row r="10" ht="34" customHeight="1">
      <x:c r="A10" s="137" t="str">
        <x:v>REG-005</x:v>
      </x:c>
      <x:c r="B10" s="137" t="str">
        <x:v>V0.6 fixture reproduction: phase_error_x</x:v>
      </x:c>
      <x:c r="C10" s="142" t="n">
        <x:v>0.09270161340569935</x:v>
      </x:c>
      <x:c r="D10" s="142" t="n">
        <x:v>0.09270161340569935</x:v>
      </x:c>
      <x:c r="E10" s="142" t="n">
        <x:v>1e-12</x:v>
      </x:c>
      <x:c r="F10" s="137" t="str">
        <x:v>PASS</x:v>
      </x:c>
      <x:c r="G10" s="137" t="str">
        <x:v>Software regression only</x:v>
      </x:c>
    </x:row>
    <x:row r="11" ht="34" customHeight="1">
      <x:c r="A11" s="136" t="str">
        <x:v>REG-006</x:v>
      </x:c>
      <x:c r="B11" s="136" t="str">
        <x:v>V0.6 fixture reproduction: n_x</x:v>
      </x:c>
      <x:c r="C11" s="143" t="n">
        <x:v>492818.0901525894</x:v>
      </x:c>
      <x:c r="D11" s="143" t="n">
        <x:v>492818.0901525894</x:v>
      </x:c>
      <x:c r="E11" s="143" t="n">
        <x:v>1e-7</x:v>
      </x:c>
      <x:c r="F11" s="136" t="str">
        <x:v>PASS</x:v>
      </x:c>
      <x:c r="G11" s="136" t="str">
        <x:v>Software regression only</x:v>
      </x:c>
    </x:row>
    <x:row r="12" ht="34" customHeight="1">
      <x:c r="A12" s="137" t="str">
        <x:v>REG-007</x:v>
      </x:c>
      <x:c r="B12" s="137" t="str">
        <x:v>V0.6 fixture reproduction: s_x1</x:v>
      </x:c>
      <x:c r="C12" s="142" t="n">
        <x:v>183803.04893680647</x:v>
      </x:c>
      <x:c r="D12" s="142" t="n">
        <x:v>183803.04893680647</x:v>
      </x:c>
      <x:c r="E12" s="142" t="n">
        <x:v>1e-7</x:v>
      </x:c>
      <x:c r="F12" s="137" t="str">
        <x:v>PASS</x:v>
      </x:c>
      <x:c r="G12" s="137" t="str">
        <x:v>Software regression only</x:v>
      </x:c>
    </x:row>
    <x:row r="13" ht="34" customHeight="1">
      <x:c r="A13" s="136" t="str">
        <x:v>REG-008</x:v>
      </x:c>
      <x:c r="B13" s="136" t="str">
        <x:v>+20 dB injected loss gives no positive key</x:v>
      </x:c>
      <x:c r="C13" s="143" t="n">
        <x:v>0</x:v>
      </x:c>
      <x:c r="D13" s="143" t="n">
        <x:v>0</x:v>
      </x:c>
      <x:c r="E13" s="143" t="n">
        <x:v>0</x:v>
      </x:c>
      <x:c r="F13" s="136" t="str">
        <x:v>PASS</x:v>
      </x:c>
      <x:c r="G13" s="136" t="str">
        <x:v>Software negative test</x:v>
      </x:c>
    </x:row>
    <x:row r="14" ht="34" customHeight="1">
      <x:c r="A14" s="137" t="str">
        <x:v>REG-009</x:v>
      </x:c>
      <x:c r="B14" s="137" t="str">
        <x:v>Grid row identity</x:v>
      </x:c>
      <x:c r="C14" s="142" t="n">
        <x:v>1681</x:v>
      </x:c>
      <x:c r="D14" s="142" t="n">
        <x:v>1681</x:v>
      </x:c>
      <x:c r="E14" s="142" t="n">
        <x:v>0</x:v>
      </x:c>
      <x:c r="F14" s="137" t="str">
        <x:v>PASS</x:v>
      </x:c>
      <x:c r="G14" s="137" t="str">
        <x:v>Deterministic grid integrity</x:v>
      </x:c>
    </x:row>
    <x:row r="15" ht="34" customHeight="1">
      <x:c r="A15" s="136" t="str">
        <x:v>REG-010</x:v>
      </x:c>
      <x:c r="B15" s="136" t="str">
        <x:v>Grid states partition exactly</x:v>
      </x:c>
      <x:c r="C15" s="143" t="n">
        <x:v>1681</x:v>
      </x:c>
      <x:c r="D15" s="143" t="n">
        <x:v>1681</x:v>
      </x:c>
      <x:c r="E15" s="143" t="n">
        <x:v>0</x:v>
      </x:c>
      <x:c r="F15" s="136" t="str">
        <x:v>PASS</x:v>
      </x:c>
      <x:c r="G15" s="136" t="str">
        <x:v>Deterministic grid integrity</x:v>
      </x:c>
    </x:row>
    <x:row r="16" ht="34" customHeight="1">
      <x:c r="A16" s="137" t="str">
        <x:v>REG-011</x:v>
      </x:c>
      <x:c r="B16" s="137" t="str">
        <x:v>Physical characterization remains absent</x:v>
      </x:c>
      <x:c r="C16" s="142" t="str">
        <x:v>NOT-EXECUTED</x:v>
      </x:c>
      <x:c r="D16" s="142" t="str">
        <x:v>NOT-EXECUTED</x:v>
      </x:c>
      <x:c r="E16" s="142" t="n">
        <x:v>0</x:v>
      </x:c>
      <x:c r="F16" s="137" t="str">
        <x:v>PASS</x:v>
      </x:c>
      <x:c r="G16" s="137" t="str">
        <x:v>Boundary invariant</x:v>
      </x:c>
    </x:row>
    <x:row r="17" ht="34" customHeight="1">
      <x:c r="A17" s="136" t="str">
        <x:v>REG-012</x:v>
      </x:c>
      <x:c r="B17" s="136" t="str">
        <x:v>Unmapped imperfections receive no numeric penalty</x:v>
      </x:c>
      <x:c r="C17" s="143" t="str">
        <x:v>NO-SUBSTITUTION</x:v>
      </x:c>
      <x:c r="D17" s="143" t="str">
        <x:v>NO-SUBSTITUTION</x:v>
      </x:c>
      <x:c r="E17" s="143" t="n">
        <x:v>0</x:v>
      </x:c>
      <x:c r="F17" s="136" t="str">
        <x:v>PASS</x:v>
      </x:c>
      <x:c r="G17" s="136" t="str">
        <x:v>Boundary invariant</x:v>
      </x:c>
    </x:row>
  </x:sheetData>
  <x:mergeCells>
    <x:mergeCell ref="A1:G2"/>
    <x:mergeCell ref="A3:G3"/>
  </x:mergeCells>
  <x:conditionalFormatting sqref="F6:F17">
    <x:cfRule type="containsText" dxfId="40" priority="1" operator="containsText" text="PASS"/>
    <x:cfRule type="containsText" dxfId="41" priority="2" operator="containsText" text="POSITIVE"/>
    <x:cfRule type="containsText" dxfId="42" priority="3" operator="containsText" text="BLOCKED"/>
    <x:cfRule type="containsText" dxfId="43" priority="4" operator="containsText" text="PROHIBITED"/>
    <x:cfRule type="containsText" dxfId="44" priority="5" operator="containsText" text="NONPOSITIVE"/>
    <x:cfRule type="containsText" dxfId="45" priority="6" operator="containsText" text="NOT-"/>
    <x:cfRule type="containsText" dxfId="46" priority="7" operator="containsText" text="UNMAPPED"/>
    <x:cfRule type="containsText" dxfId="47" priority="8" operator="containsText" text="QUARANTIN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42" hidden="0" customWidth="1"/>
    <x:col min="4" max="4" width="28" hidden="0" customWidth="1"/>
    <x:col min="5" max="5" width="46" hidden="0" customWidth="1"/>
    <x:col min="6" max="6" width="22" hidden="0" customWidth="1"/>
    <x:col min="7" max="7" width="46" hidden="0" customWidth="1"/>
    <x:col min="8" max="8" width="42" hidden="0" customWidth="1"/>
    <x:col min="9" max="9" width="22" hidden="0" customWidth="1"/>
  </x:cols>
  <x:sheetData>
    <x:row r="1" ht="27" customHeight="1">
      <x:c r="A1" s="3" t="str">
        <x:v>Imperfection-to-proof mapping register</x:v>
      </x:c>
      <x:c r="B1" s="3" t="str">
        <x:v>Imperfection-to-proof mapping register</x:v>
      </x:c>
      <x:c r="C1" s="3" t="str">
        <x:v>Imperfection-to-proof mapping register</x:v>
      </x:c>
      <x:c r="D1" s="3" t="str">
        <x:v>Imperfection-to-proof mapping register</x:v>
      </x:c>
      <x:c r="E1" s="3" t="str">
        <x:v>Imperfection-to-proof mapping register</x:v>
      </x:c>
      <x:c r="F1" s="3" t="str">
        <x:v>Imperfection-to-proof mapping register</x:v>
      </x:c>
      <x:c r="G1" s="3" t="str">
        <x:v>Imperfection-to-proof mapping register</x:v>
      </x:c>
      <x:c r="H1" s="3" t="str">
        <x:v>Imperfection-to-proof mapping register</x:v>
      </x:c>
      <x:c r="I1" s="3" t="str">
        <x:v>Imperfection-to-proof mapping register</x:v>
      </x:c>
    </x:row>
    <x:row r="2" ht="27" customHeight="1">
      <x:c r="A2" s="3" t="str">
        <x:v>Imperfection-to-proof mapping register</x:v>
      </x:c>
      <x:c r="B2" s="3" t="str">
        <x:v>Imperfection-to-proof mapping register</x:v>
      </x:c>
      <x:c r="C2" s="3" t="str">
        <x:v>Imperfection-to-proof mapping register</x:v>
      </x:c>
      <x:c r="D2" s="3" t="str">
        <x:v>Imperfection-to-proof mapping register</x:v>
      </x:c>
      <x:c r="E2" s="3" t="str">
        <x:v>Imperfection-to-proof mapping register</x:v>
      </x:c>
      <x:c r="F2" s="3" t="str">
        <x:v>Imperfection-to-proof mapping register</x:v>
      </x:c>
      <x:c r="G2" s="3" t="str">
        <x:v>Imperfection-to-proof mapping register</x:v>
      </x:c>
      <x:c r="H2" s="3" t="str">
        <x:v>Imperfection-to-proof mapping register</x:v>
      </x:c>
      <x:c r="I2" s="3" t="str">
        <x:v>Imperfection-to-proof mapping register</x:v>
      </x:c>
    </x:row>
    <x:row r="3" ht="32" customHeight="1">
      <x:c r="A3" s="7" t="str">
        <x:v>Unmapped effects receive no invented numerical penalty and remain blocking proof obligations.</x:v>
      </x:c>
      <x:c r="B3" s="7" t="str">
        <x:v>Unmapped effects receive no invented numerical penalty and remain blocking proof obligations.</x:v>
      </x:c>
      <x:c r="C3" s="7" t="str">
        <x:v>Unmapped effects receive no invented numerical penalty and remain blocking proof obligations.</x:v>
      </x:c>
      <x:c r="D3" s="7" t="str">
        <x:v>Unmapped effects receive no invented numerical penalty and remain blocking proof obligations.</x:v>
      </x:c>
      <x:c r="E3" s="7" t="str">
        <x:v>Unmapped effects receive no invented numerical penalty and remain blocking proof obligations.</x:v>
      </x:c>
      <x:c r="F3" s="7" t="str">
        <x:v>Unmapped effects receive no invented numerical penalty and remain blocking proof obligations.</x:v>
      </x:c>
      <x:c r="G3" s="7" t="str">
        <x:v>Unmapped effects receive no invented numerical penalty and remain blocking proof obligations.</x:v>
      </x:c>
      <x:c r="H3" s="7" t="str">
        <x:v>Unmapped effects receive no invented numerical penalty and remain blocking proof obligations.</x:v>
      </x:c>
      <x:c r="I3" s="7" t="str">
        <x:v>Unmapped effects receive no invented numerical penalty and remain blocking proof obligations.</x:v>
      </x:c>
    </x:row>
    <x:row r="5" ht="38" customHeight="1">
      <x:c r="A5" s="13" t="str">
        <x:v>mapping_id</x:v>
      </x:c>
      <x:c r="B5" s="13" t="str">
        <x:v>imperfection_or_parameter</x:v>
      </x:c>
      <x:c r="C5" s="13" t="str">
        <x:v>current_numerical_representation</x:v>
      </x:c>
      <x:c r="D5" s="13" t="str">
        <x:v>current_mapping_state</x:v>
      </x:c>
      <x:c r="E5" s="13" t="str">
        <x:v>security_proof_dependency</x:v>
      </x:c>
      <x:c r="F5" s="13" t="str">
        <x:v>numeric_penalty_applied</x:v>
      </x:c>
      <x:c r="G5" s="13" t="str">
        <x:v>required_next_theoretical_action</x:v>
      </x:c>
      <x:c r="H5" s="13" t="str">
        <x:v>claim_effect</x:v>
      </x:c>
      <x:c r="I5" s="13" t="str">
        <x:v>primary_basis</x:v>
      </x:c>
    </x:row>
    <x:row r="6" ht="58" customHeight="1">
      <x:c r="A6" s="137" t="str">
        <x:v>MAP-001</x:v>
      </x:c>
      <x:c r="B6" s="137" t="str">
        <x:v>Aggregate additional system loss</x:v>
      </x:c>
      <x:c r="C6" s="137" t="str">
        <x:v>Constant dB offset applied to the frozen reference loss curve</x:v>
      </x:c>
      <x:c r="D6" s="137" t="str">
        <x:v>MAPPED-STRESS-ONLY</x:v>
      </x:c>
      <x:c r="E6" s="137" t="str">
        <x:v>Accepted only as a channel-model variable under the frozen finite-key fixture</x:v>
      </x:c>
      <x:c r="F6" s="137" t="str">
        <x:v>YES-EXPLICIT-VARIATION</x:v>
      </x:c>
      <x:c r="G6" s="137" t="str">
        <x:v>Retain as aggregate stress variable until a decomposed evidence-backed link model exists</x:v>
      </x:c>
      <x:c r="H6" s="137" t="str">
        <x:v>No hardware or mission loss budget</x:v>
      </x:c>
      <x:c r="I6" s="137" t="str">
        <x:v>Sidhu-2022 plus V0.6 fixture</x:v>
      </x:c>
    </x:row>
    <x:row r="7" ht="58" customHeight="1">
      <x:c r="A7" s="136" t="str">
        <x:v>MAP-002</x:v>
      </x:c>
      <x:c r="B7" s="136" t="str">
        <x:v>Aggregate detector efficiency</x:v>
      </x:c>
      <x:c r="C7" s="136" t="str">
        <x:v>Relative multiplier on the frozen aggregate efficiency curve</x:v>
      </x:c>
      <x:c r="D7" s="136" t="str">
        <x:v>MAPPED-STRESS-ONLY</x:v>
      </x:c>
      <x:c r="E7" s="136" t="str">
        <x:v>Proof calculation consumes detection statistics but this multiplier is not an absolute characterized efficiency</x:v>
      </x:c>
      <x:c r="F7" s="136" t="str">
        <x:v>YES-EXPLICIT-VARIATION</x:v>
      </x:c>
      <x:c r="G7" s="136" t="str">
        <x:v>Keep relative and separate from detector certification intervals</x:v>
      </x:c>
      <x:c r="H7" s="136" t="str">
        <x:v>No detector specification or acceptance limit</x:v>
      </x:c>
      <x:c r="I7" s="136" t="str">
        <x:v>Sidhu-2022 plus V0.12 MDL-006</x:v>
      </x:c>
    </x:row>
    <x:row r="8" ht="58" customHeight="1">
      <x:c r="A8" s="137" t="str">
        <x:v>MAP-003</x:v>
      </x:c>
      <x:c r="B8" s="137" t="str">
        <x:v>Source repetition rate</x:v>
      </x:c>
      <x:c r="C8" s="137" t="str">
        <x:v>Expected pulses per one-second slot</x:v>
      </x:c>
      <x:c r="D8" s="137" t="str">
        <x:v>MAPPED-STRESS-ONLY</x:v>
      </x:c>
      <x:c r="E8" s="137" t="str">
        <x:v>Valid only while omitted detector recovery saturation and timing effects are inapplicable</x:v>
      </x:c>
      <x:c r="F8" s="137" t="str">
        <x:v>YES-EXPLICIT-VARIATION</x:v>
      </x:c>
      <x:c r="G8" s="137" t="str">
        <x:v>Define a proof-compatible rate and detector-history model before device use</x:v>
      </x:c>
      <x:c r="H8" s="137" t="str">
        <x:v>No clock-rate requirement</x:v>
      </x:c>
      <x:c r="I8" s="137" t="str">
        <x:v>Sidhu-2022 plus V0.12 MDL-006</x:v>
      </x:c>
    </x:row>
    <x:row r="9" ht="58" customHeight="1">
      <x:c r="A9" s="136" t="str">
        <x:v>MAP-004</x:v>
      </x:c>
      <x:c r="B9" s="136" t="str">
        <x:v>Signal mean intensity</x:v>
      </x:c>
      <x:c r="C9" s="136" t="str">
        <x:v>Multiplier on the frozen non-vacuum signal intensity</x:v>
      </x:c>
      <x:c r="D9" s="136" t="str">
        <x:v>MAPPED-STRESS-ONLY</x:v>
      </x:c>
      <x:c r="E9" s="136" t="str">
        <x:v>Requires the selected weak-coherent-pulse and decoy-state assumptions</x:v>
      </x:c>
      <x:c r="F9" s="136" t="str">
        <x:v>YES-EXPLICIT-VARIATION</x:v>
      </x:c>
      <x:c r="G9" s="136" t="str">
        <x:v>Replace exact-value stress with bounded intensity statistics tied to the chosen proof</x:v>
      </x:c>
      <x:c r="H9" s="136" t="str">
        <x:v>No source set point or tolerance</x:v>
      </x:c>
      <x:c r="I9" s="136" t="str">
        <x:v>Sidhu-2022</x:v>
      </x:c>
    </x:row>
    <x:row r="10" ht="58" customHeight="1">
      <x:c r="A10" s="137" t="str">
        <x:v>MAP-005</x:v>
      </x:c>
      <x:c r="B10" s="137" t="str">
        <x:v>Weak-decoy mean intensity</x:v>
      </x:c>
      <x:c r="C10" s="137" t="str">
        <x:v>Multiplier on the frozen weak decoy intensity</x:v>
      </x:c>
      <x:c r="D10" s="137" t="str">
        <x:v>MAPPED-STRESS-ONLY</x:v>
      </x:c>
      <x:c r="E10" s="137" t="str">
        <x:v>Requires ordered three-intensity decoy algebra with a vacuum state</x:v>
      </x:c>
      <x:c r="F10" s="137" t="str">
        <x:v>YES-EXPLICIT-VARIATION</x:v>
      </x:c>
      <x:c r="G10" s="137" t="str">
        <x:v>Replace exact-value stress with bounded intensity statistics tied to the chosen proof</x:v>
      </x:c>
      <x:c r="H10" s="137" t="str">
        <x:v>No source set point or tolerance</x:v>
      </x:c>
      <x:c r="I10" s="137" t="str">
        <x:v>Sidhu-2022</x:v>
      </x:c>
    </x:row>
    <x:row r="11" ht="58" customHeight="1">
      <x:c r="A11" s="136" t="str">
        <x:v>MAP-006</x:v>
      </x:c>
      <x:c r="B11" s="136" t="str">
        <x:v>Phase randomization</x:v>
      </x:c>
      <x:c r="C11" s="136" t="str">
        <x:v>Ideal full phase randomization remains assumed</x:v>
      </x:c>
      <x:c r="D11" s="136" t="str">
        <x:v>UNMAPPED-PROOF-REQUIRED</x:v>
      </x:c>
      <x:c r="E11" s="136" t="str">
        <x:v>Standard decoy analysis can be invalid when pulses are not fully phase randomized</x:v>
      </x:c>
      <x:c r="F11" s="136" t="str">
        <x:v>NO-SUBSTITUTION</x:v>
      </x:c>
      <x:c r="G11" s="136" t="str">
        <x:v>Select and implement a generalized proof or establish a defensible phase-randomization certificate</x:v>
      </x:c>
      <x:c r="H11" s="136" t="str">
        <x:v>Blocks implementation-security claim</x:v>
      </x:c>
      <x:c r="I11" s="136" t="str">
        <x:v>Nahar-2023</x:v>
      </x:c>
    </x:row>
    <x:row r="12" ht="58" customHeight="1">
      <x:c r="A12" s="137" t="str">
        <x:v>MAP-007</x:v>
      </x:c>
      <x:c r="B12" s="137" t="str">
        <x:v>Pulse independence and intensity correlations</x:v>
      </x:c>
      <x:c r="C12" s="137" t="str">
        <x:v>Pulses are treated as independent expected-count samples</x:v>
      </x:c>
      <x:c r="D12" s="137" t="str">
        <x:v>UNMAPPED-PROOF-REQUIRED</x:v>
      </x:c>
      <x:c r="E12" s="137" t="str">
        <x:v>Standard decoy assumptions may not cover correlated or non-identically distributed pulses</x:v>
      </x:c>
      <x:c r="F12" s="137" t="str">
        <x:v>NO-SUBSTITUTION</x:v>
      </x:c>
      <x:c r="G12" s="137" t="str">
        <x:v>Select a correlation-aware source model and proof-compatible bounds</x:v>
      </x:c>
      <x:c r="H12" s="137" t="str">
        <x:v>Blocks implementation-security claim</x:v>
      </x:c>
      <x:c r="I12" s="137" t="str">
        <x:v>Nahar-2023</x:v>
      </x:c>
    </x:row>
    <x:row r="13" ht="58" customHeight="1">
      <x:c r="A13" s="136" t="str">
        <x:v>MAP-008</x:v>
      </x:c>
      <x:c r="B13" s="136" t="str">
        <x:v>State-preparation flaws and side-channel states</x:v>
      </x:c>
      <x:c r="C13" s="136" t="str">
        <x:v>Collapsed into aggregate intrinsic QBER only</x:v>
      </x:c>
      <x:c r="D13" s="136" t="str">
        <x:v>UNMAPPED-PROOF-REQUIRED</x:v>
      </x:c>
      <x:c r="E13" s="136" t="str">
        <x:v>QBER does not by itself bound all prepared-state deviations or side-channel distinguishability</x:v>
      </x:c>
      <x:c r="F13" s="136" t="str">
        <x:v>NO-SUBSTITUTION</x:v>
      </x:c>
      <x:c r="G13" s="136" t="str">
        <x:v>Select a source-flaw-tolerant proof and parameterization</x:v>
      </x:c>
      <x:c r="H13" s="136" t="str">
        <x:v>Blocks implementation-security claim</x:v>
      </x:c>
      <x:c r="I13" s="136" t="str">
        <x:v>Xu-2015 plus V0.12 MDL-007/008</x:v>
      </x:c>
    </x:row>
    <x:row r="14" ht="58" customHeight="1">
      <x:c r="A14" s="137" t="str">
        <x:v>MAP-009</x:v>
      </x:c>
      <x:c r="B14" s="137" t="str">
        <x:v>Extraneous count probability</x:v>
      </x:c>
      <x:c r="C14" s="137" t="str">
        <x:v>Fixed IID probability per pulse</x:v>
      </x:c>
      <x:c r="D14" s="137" t="str">
        <x:v>MAPPED-IID-STRESS-ONLY</x:v>
      </x:c>
      <x:c r="E14" s="137" t="str">
        <x:v>Finite-key calculation consumes the aggregate term but does not establish its physical decomposition or stationarity</x:v>
      </x:c>
      <x:c r="F14" s="137" t="str">
        <x:v>YES-EXPLICIT-VARIATION</x:v>
      </x:c>
      <x:c r="G14" s="137" t="str">
        <x:v>Define a time/elevation dependent background-dark-count model if later required</x:v>
      </x:c>
      <x:c r="H14" s="137" t="str">
        <x:v>No dark-count or background specification</x:v>
      </x:c>
      <x:c r="I14" s="137" t="str">
        <x:v>Sidhu-2022 plus V0.12 MDL-005</x:v>
      </x:c>
    </x:row>
    <x:row r="15" ht="58" customHeight="1">
      <x:c r="A15" s="136" t="str">
        <x:v>MAP-010</x:v>
      </x:c>
      <x:c r="B15" s="136" t="str">
        <x:v>Afterpulse probability</x:v>
      </x:c>
      <x:c r="C15" s="136" t="str">
        <x:v>Single scalar probability per detection</x:v>
      </x:c>
      <x:c r="D15" s="136" t="str">
        <x:v>PARTIAL-SCALAR-STRESS</x:v>
      </x:c>
      <x:c r="E15" s="136" t="str">
        <x:v>History dependence recovery and correlations are omitted</x:v>
      </x:c>
      <x:c r="F15" s="136" t="str">
        <x:v>YES-EXPLICIT-VARIATION</x:v>
      </x:c>
      <x:c r="G15" s="136" t="str">
        <x:v>Define a detector-history model and prove compatibility with the finite-key treatment</x:v>
      </x:c>
      <x:c r="H15" s="136" t="str">
        <x:v>No afterpulse acceptance threshold</x:v>
      </x:c>
      <x:c r="I15" s="136" t="str">
        <x:v>V0.12 MDL-006</x:v>
      </x:c>
    </x:row>
    <x:row r="16" ht="58" customHeight="1">
      <x:c r="A16" s="137" t="str">
        <x:v>MAP-011</x:v>
      </x:c>
      <x:c r="B16" s="137" t="str">
        <x:v>Intrinsic QBER</x:v>
      </x:c>
      <x:c r="C16" s="137" t="str">
        <x:v>Aggregate source alignment polarization and measurement error fraction</x:v>
      </x:c>
      <x:c r="D16" s="137" t="str">
        <x:v>MAPPED-AGGREGATE-STRESS-ONLY</x:v>
      </x:c>
      <x:c r="E16" s="137" t="str">
        <x:v>Aggregate QBER cannot certify individual physical mechanisms or all side channels</x:v>
      </x:c>
      <x:c r="F16" s="137" t="str">
        <x:v>YES-EXPLICIT-VARIATION</x:v>
      </x:c>
      <x:c r="G16" s="137" t="str">
        <x:v>Decompose only after a proof-compatible device model is selected</x:v>
      </x:c>
      <x:c r="H16" s="137" t="str">
        <x:v>No optical alignment or detector requirement</x:v>
      </x:c>
      <x:c r="I16" s="137" t="str">
        <x:v>Sidhu-2022 plus V0.12 MDL-008</x:v>
      </x:c>
    </x:row>
    <x:row r="17" ht="58" customHeight="1">
      <x:c r="A17" s="136" t="str">
        <x:v>MAP-012</x:v>
      </x:c>
      <x:c r="B17" s="136" t="str">
        <x:v>Detector dead time recovery saturation and timing jitter</x:v>
      </x:c>
      <x:c r="C17" s="136" t="str">
        <x:v>Absent</x:v>
      </x:c>
      <x:c r="D17" s="136" t="str">
        <x:v>UNMAPPED-MODEL-REQUIRED</x:v>
      </x:c>
      <x:c r="E17" s="136" t="str">
        <x:v>Count statistics may become rate- and history-dependent</x:v>
      </x:c>
      <x:c r="F17" s="136" t="str">
        <x:v>NO-SUBSTITUTION</x:v>
      </x:c>
      <x:c r="G17" s="136" t="str">
        <x:v>Introduce a validated event-history detector model before physical interpretation</x:v>
      </x:c>
      <x:c r="H17" s="136" t="str">
        <x:v>Blocks detector and rate claims</x:v>
      </x:c>
      <x:c r="I17" s="136" t="str">
        <x:v>V0.12 MDL-006</x:v>
      </x:c>
    </x:row>
    <x:row r="18" ht="58" customHeight="1">
      <x:c r="A18" s="137" t="str">
        <x:v>MAP-013</x:v>
      </x:c>
      <x:c r="B18" s="137" t="str">
        <x:v>Detector efficiency mismatch across channels time or polarization</x:v>
      </x:c>
      <x:c r="C18" s="137" t="str">
        <x:v>Absent</x:v>
      </x:c>
      <x:c r="D18" s="137" t="str">
        <x:v>UNMAPPED-PROOF-REQUIRED</x:v>
      </x:c>
      <x:c r="E18" s="137" t="str">
        <x:v>Mismatch can affect the applicable measurement model and security proof</x:v>
      </x:c>
      <x:c r="F18" s="137" t="str">
        <x:v>NO-SUBSTITUTION</x:v>
      </x:c>
      <x:c r="G18" s="137" t="str">
        <x:v>Select a mismatch-aware measurement model and proof treatment</x:v>
      </x:c>
      <x:c r="H18" s="137" t="str">
        <x:v>Blocks implementation-security claim</x:v>
      </x:c>
      <x:c r="I18" s="137" t="str">
        <x:v>V0.12 MDL-006/008</x:v>
      </x:c>
    </x:row>
    <x:row r="19" ht="58" customHeight="1">
      <x:c r="A19" s="136" t="str">
        <x:v>MAP-014</x:v>
      </x:c>
      <x:c r="B19" s="136" t="str">
        <x:v>Device-characterization confidence and model-parameter coverage</x:v>
      </x:c>
      <x:c r="C19" s="136" t="str">
        <x:v>Absent</x:v>
      </x:c>
      <x:c r="D19" s="136" t="str">
        <x:v>UNMAPPED-SECURITY-BUDGET</x:v>
      </x:c>
      <x:c r="E19" s="136" t="str">
        <x:v>Practical proof use requires justified parameter ranges and a rigorous link between certification conclusions and the proof</x:v>
      </x:c>
      <x:c r="F19" s="136" t="str">
        <x:v>NO-SUBSTITUTION</x:v>
      </x:c>
      <x:c r="G19" s="136" t="str">
        <x:v>Define simultaneous confidence coverage and compose its failure probability with the selected security statement</x:v>
      </x:c>
      <x:c r="H19" s="136" t="str">
        <x:v>Blocks certification and composable-security claim</x:v>
      </x:c>
      <x:c r="I19" s="136" t="str">
        <x:v>Tan-and-Nahar-2026</x:v>
      </x:c>
    </x:row>
    <x:row r="20" ht="58" customHeight="1">
      <x:c r="A20" s="137" t="str">
        <x:v>MAP-015</x:v>
      </x:c>
      <x:c r="B20" s="137" t="str">
        <x:v>Memory across protocol instances and device aging</x:v>
      </x:c>
      <x:c r="C20" s="137" t="str">
        <x:v>Absent</x:v>
      </x:c>
      <x:c r="D20" s="137" t="str">
        <x:v>UNMAPPED-MODEL-REQUIRED</x:v>
      </x:c>
      <x:c r="E20" s="137" t="str">
        <x:v>Per-instance parameter values cannot silently be assumed stable across future executions</x:v>
      </x:c>
      <x:c r="F20" s="137" t="str">
        <x:v>NO-SUBSTITUTION</x:v>
      </x:c>
      <x:c r="G20" s="137" t="str">
        <x:v>Define validity interval drift monitoring and proof assumptions before operational use</x:v>
      </x:c>
      <x:c r="H20" s="137" t="str">
        <x:v>Blocks persistent operational claim</x:v>
      </x:c>
      <x:c r="I20" s="137" t="str">
        <x:v>Tan-and-Nahar-2026</x:v>
      </x:c>
    </x:row>
    <x:row r="21" ht="58" customHeight="1">
      <x:c r="A21" s="136" t="str">
        <x:v>MAP-016</x:v>
      </x:c>
      <x:c r="B21" s="136" t="str">
        <x:v>Alternative finite-size security proof</x:v>
      </x:c>
      <x:c r="C21" s="136" t="str">
        <x:v>Frozen Sidhu-profile algebra retained</x:v>
      </x:c>
      <x:c r="D21" s="136" t="str">
        <x:v>ALTERNATIVE-NOT-SELECTED</x:v>
      </x:c>
      <x:c r="E21" s="136" t="str">
        <x:v>Changing proof families changes assumptions bounds and possibly protocol semantics</x:v>
      </x:c>
      <x:c r="F21" s="136" t="str">
        <x:v>NO-SUBSTITUTION</x:v>
      </x:c>
      <x:c r="G21" s="136" t="str">
        <x:v>Perform a separate proof-selection trade before replacing the frozen profile</x:v>
      </x:c>
      <x:c r="H21" s="136" t="str">
        <x:v>No proof migration or security upgrade</x:v>
      </x:c>
      <x:c r="I21" s="136" t="str">
        <x:v>Configuration control</x:v>
      </x:c>
    </x:row>
  </x:sheetData>
  <x:mergeCells>
    <x:mergeCell ref="A1:I2"/>
    <x:mergeCell ref="A3:I3"/>
  </x:mergeCells>
  <x:conditionalFormatting sqref="D6:D21">
    <x:cfRule type="containsText" dxfId="48" priority="1" operator="containsText" text="PASS"/>
    <x:cfRule type="containsText" dxfId="49" priority="2" operator="containsText" text="POSITIVE"/>
    <x:cfRule type="containsText" dxfId="50" priority="3" operator="containsText" text="BLOCKED"/>
    <x:cfRule type="containsText" dxfId="51" priority="4" operator="containsText" text="PROHIBITED"/>
    <x:cfRule type="containsText" dxfId="52" priority="5" operator="containsText" text="NONPOSITIVE"/>
    <x:cfRule type="containsText" dxfId="53" priority="6" operator="containsText" text="NOT-"/>
    <x:cfRule type="containsText" dxfId="54" priority="7" operator="containsText" text="UNMAPPED"/>
    <x:cfRule type="containsText" dxfId="55" priority="8" operator="containsText" text="QUARANTINED"/>
  </x:conditionalFormatting>
  <x:conditionalFormatting sqref="F6:F21">
    <x:cfRule type="containsText" dxfId="56" priority="9" operator="containsText" text="PASS"/>
    <x:cfRule type="containsText" dxfId="57" priority="10" operator="containsText" text="POSITIVE"/>
    <x:cfRule type="containsText" dxfId="58" priority="11" operator="containsText" text="BLOCKED"/>
    <x:cfRule type="containsText" dxfId="59" priority="12" operator="containsText" text="PROHIBITED"/>
    <x:cfRule type="containsText" dxfId="60" priority="13" operator="containsText" text="NONPOSITIVE"/>
    <x:cfRule type="containsText" dxfId="61" priority="14" operator="containsText" text="NOT-"/>
    <x:cfRule type="containsText" dxfId="62" priority="15" operator="containsText" text="UNMAPPED"/>
    <x:cfRule type="containsText" dxfId="63" priority="16" operator="containsText" text="QUARANTIN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2" hidden="0" customWidth="1"/>
    <x:col min="3" max="3" width="46" hidden="0" customWidth="1"/>
    <x:col min="4" max="4" width="46" hidden="0" customWidth="1"/>
    <x:col min="5" max="5" width="46" hidden="0" customWidth="1"/>
    <x:col min="6" max="6" width="28" hidden="0" customWidth="1"/>
  </x:cols>
  <x:sheetData>
    <x:row r="1" ht="27" customHeight="1">
      <x:c r="A1" s="3" t="str">
        <x:v>Controlled limitation register</x:v>
      </x:c>
      <x:c r="B1" s="3" t="str">
        <x:v>Controlled limitation register</x:v>
      </x:c>
      <x:c r="C1" s="3" t="str">
        <x:v>Controlled limitation register</x:v>
      </x:c>
      <x:c r="D1" s="3" t="str">
        <x:v>Controlled limitation register</x:v>
      </x:c>
      <x:c r="E1" s="3" t="str">
        <x:v>Controlled limitation register</x:v>
      </x:c>
      <x:c r="F1" s="3" t="str">
        <x:v>Controlled limitation register</x:v>
      </x:c>
    </x:row>
    <x:row r="2" ht="27" customHeight="1">
      <x:c r="A2" s="3" t="str">
        <x:v>Controlled limitation register</x:v>
      </x:c>
      <x:c r="B2" s="3" t="str">
        <x:v>Controlled limitation register</x:v>
      </x:c>
      <x:c r="C2" s="3" t="str">
        <x:v>Controlled limitation register</x:v>
      </x:c>
      <x:c r="D2" s="3" t="str">
        <x:v>Controlled limitation register</x:v>
      </x:c>
      <x:c r="E2" s="3" t="str">
        <x:v>Controlled limitation register</x:v>
      </x:c>
      <x:c r="F2" s="3" t="str">
        <x:v>Controlled limitation register</x:v>
      </x:c>
    </x:row>
    <x:row r="3" ht="32" customHeight="1">
      <x:c r="A3" s="7" t="str">
        <x:v>Every limitation remains visible. UNMAPPED-BLOCKING and PRIVATE-BLOCKED states are non-permissive.</x:v>
      </x:c>
      <x:c r="B3" s="7" t="str">
        <x:v>Every limitation remains visible. UNMAPPED-BLOCKING and PRIVATE-BLOCKED states are non-permissive.</x:v>
      </x:c>
      <x:c r="C3" s="7" t="str">
        <x:v>Every limitation remains visible. UNMAPPED-BLOCKING and PRIVATE-BLOCKED states are non-permissive.</x:v>
      </x:c>
      <x:c r="D3" s="7" t="str">
        <x:v>Every limitation remains visible. UNMAPPED-BLOCKING and PRIVATE-BLOCKED states are non-permissive.</x:v>
      </x:c>
      <x:c r="E3" s="7" t="str">
        <x:v>Every limitation remains visible. UNMAPPED-BLOCKING and PRIVATE-BLOCKED states are non-permissive.</x:v>
      </x:c>
      <x:c r="F3" s="7" t="str">
        <x:v>Every limitation remains visible. UNMAPPED-BLOCKING and PRIVATE-BLOCKED states are non-permissive.</x:v>
      </x:c>
    </x:row>
    <x:row r="5" ht="38" customHeight="1">
      <x:c r="A5" s="13" t="str">
        <x:v>limitation_id</x:v>
      </x:c>
      <x:c r="B5" s="13" t="str">
        <x:v>domain</x:v>
      </x:c>
      <x:c r="C5" s="13" t="str">
        <x:v>limitation</x:v>
      </x:c>
      <x:c r="D5" s="13" t="str">
        <x:v>scientific_consequence</x:v>
      </x:c>
      <x:c r="E5" s="13" t="str">
        <x:v>required_remediation</x:v>
      </x:c>
      <x:c r="F5" s="13" t="str">
        <x:v>status</x:v>
      </x:c>
    </x:row>
    <x:row r="6" ht="54" customHeight="1">
      <x:c r="A6" s="137" t="str">
        <x:v>LIM-016-001</x:v>
      </x:c>
      <x:c r="B6" s="137" t="str">
        <x:v>Interpretation</x:v>
      </x:c>
      <x:c r="C6" s="137" t="str">
        <x:v>The entire result is based on a modeled reference curve and expected counts</x:v>
      </x:c>
      <x:c r="D6" s="137" t="str">
        <x:v>No empirical device site orbit or mission inference</x:v>
      </x:c>
      <x:c r="E6" s="137" t="str">
        <x:v>Acquire evidence only if the project later leaves theoretical scope</x:v>
      </x:c>
      <x:c r="F6" s="137" t="str">
        <x:v>OPEN-DISCLOSED</x:v>
      </x:c>
    </x:row>
    <x:row r="7" ht="54" customHeight="1">
      <x:c r="A7" s="136" t="str">
        <x:v>LIM-016-002</x:v>
      </x:c>
      <x:c r="B7" s="136" t="str">
        <x:v>Model independence</x:v>
      </x:c>
      <x:c r="C7" s="136" t="str">
        <x:v>V0.16 reuses the frozen V0.6 finite-key algebra and controlled loss curve</x:v>
      </x:c>
      <x:c r="D7" s="136" t="str">
        <x:v>A shared model or assumption error is not detected by reproduction</x:v>
      </x:c>
      <x:c r="E7" s="136" t="str">
        <x:v>Obtain an external independent proof and implementation review</x:v>
      </x:c>
      <x:c r="F7" s="136" t="str">
        <x:v>OPEN-DISCLOSED</x:v>
      </x:c>
    </x:row>
    <x:row r="8" ht="54" customHeight="1">
      <x:c r="A8" s="137" t="str">
        <x:v>LIM-016-003</x:v>
      </x:c>
      <x:c r="B8" s="137" t="str">
        <x:v>Arithmetic</x:v>
      </x:c>
      <x:c r="C8" s="137" t="str">
        <x:v>Calculations use IEEE-754 binary64 through NumPy and SciPy</x:v>
      </x:c>
      <x:c r="D8" s="137" t="str">
        <x:v>Alternate-precision and interval-arithmetic sensitivity are untested</x:v>
      </x:c>
      <x:c r="E8" s="137" t="str">
        <x:v>Repeat critical boundaries with controlled higher precision</x:v>
      </x:c>
      <x:c r="F8" s="137" t="str">
        <x:v>OPEN-DISCLOSED</x:v>
      </x:c>
    </x:row>
    <x:row r="9" ht="54" customHeight="1">
      <x:c r="A9" s="136" t="str">
        <x:v>LIM-016-004</x:v>
      </x:c>
      <x:c r="B9" s="136" t="str">
        <x:v>Optimization</x:v>
      </x:c>
      <x:c r="C9" s="136" t="str">
        <x:v>Only integer half-window is re-optimized while protocol probabilities and intensities remain frozen except for stated one-variable stresses</x:v>
      </x:c>
      <x:c r="D9" s="136" t="str">
        <x:v>The result is not a global protocol optimum</x:v>
      </x:c>
      <x:c r="E9" s="136" t="str">
        <x:v>Perform constrained joint optimization only after a proof profile is selected</x:v>
      </x:c>
      <x:c r="F9" s="136" t="str">
        <x:v>OPEN-DISCLOSED</x:v>
      </x:c>
    </x:row>
    <x:row r="10" ht="54" customHeight="1">
      <x:c r="A10" s="137" t="str">
        <x:v>LIM-016-005</x:v>
      </x:c>
      <x:c r="B10" s="137" t="str">
        <x:v>Local response</x:v>
      </x:c>
      <x:c r="C10" s="137" t="str">
        <x:v>Response ranks use non-comparable declared steps of 0.1 dB or 1 percent relative</x:v>
      </x:c>
      <x:c r="D10" s="137" t="str">
        <x:v>Rank is not a global or physical Sobol importance order</x:v>
      </x:c>
      <x:c r="E10" s="137" t="str">
        <x:v>Use normalized proof-compatible uncertainty distributions if later justified</x:v>
      </x:c>
      <x:c r="F10" s="137" t="str">
        <x:v>OPEN-DISCLOSED</x:v>
      </x:c>
    </x:row>
    <x:row r="11" ht="54" customHeight="1">
      <x:c r="A11" s="136" t="str">
        <x:v>LIM-016-006</x:v>
      </x:c>
      <x:c r="B11" s="136" t="str">
        <x:v>Frontiers</x:v>
      </x:c>
      <x:c r="C11" s="136" t="str">
        <x:v>One-parameter crossings freeze all other variables</x:v>
      </x:c>
      <x:c r="D11" s="136" t="str">
        <x:v>They are not device thresholds tolerances or coupled feasibility boundaries</x:v>
      </x:c>
      <x:c r="E11" s="136" t="str">
        <x:v>Use joint bounded optimization with evidence-backed feasible sets</x:v>
      </x:c>
      <x:c r="F11" s="136" t="str">
        <x:v>OPEN-DISCLOSED</x:v>
      </x:c>
    </x:row>
    <x:row r="12" ht="54" customHeight="1">
      <x:c r="A12" s="137" t="str">
        <x:v>LIM-016-007</x:v>
      </x:c>
      <x:c r="B12" s="137" t="str">
        <x:v>Grid</x:v>
      </x:c>
      <x:c r="C12" s="137" t="str">
        <x:v>The 41 by 41 grid is uniform over V0.7 research ranges and is not sampled from calibrated distributions</x:v>
      </x:c>
      <x:c r="D12" s="137" t="str">
        <x:v>Positive fraction is not reliability availability or probability</x:v>
      </x:c>
      <x:c r="E12" s="137" t="str">
        <x:v>Fit distributions only from evidence and validate them</x:v>
      </x:c>
      <x:c r="F12" s="137" t="str">
        <x:v>OPEN-DISCLOSED</x:v>
      </x:c>
    </x:row>
    <x:row r="13" ht="54" customHeight="1">
      <x:c r="A13" s="136" t="str">
        <x:v>LIM-016-008</x:v>
      </x:c>
      <x:c r="B13" s="136" t="str">
        <x:v>Source</x:v>
      </x:c>
      <x:c r="C13" s="136" t="str">
        <x:v>Full phase randomization and pulse-independence conditions are not established</x:v>
      </x:c>
      <x:c r="D13" s="136" t="str">
        <x:v>Standard decoy-state applicability may fail</x:v>
      </x:c>
      <x:c r="E13" s="136" t="str">
        <x:v>Select a generalized proof or certify the required source properties</x:v>
      </x:c>
      <x:c r="F13" s="136" t="str">
        <x:v>UNMAPPED-BLOCKING</x:v>
      </x:c>
    </x:row>
    <x:row r="14" ht="54" customHeight="1">
      <x:c r="A14" s="137" t="str">
        <x:v>LIM-016-009</x:v>
      </x:c>
      <x:c r="B14" s="137" t="str">
        <x:v>Source</x:v>
      </x:c>
      <x:c r="C14" s="137" t="str">
        <x:v>State-preparation flaws leakage and correlations are not parameterized</x:v>
      </x:c>
      <x:c r="D14" s="137" t="str">
        <x:v>Aggregate QBER cannot close these proof obligations</x:v>
      </x:c>
      <x:c r="E14" s="137" t="str">
        <x:v>Select source-flaw and correlation-aware proof maps</x:v>
      </x:c>
      <x:c r="F14" s="137" t="str">
        <x:v>UNMAPPED-BLOCKING</x:v>
      </x:c>
    </x:row>
    <x:row r="15" ht="54" customHeight="1">
      <x:c r="A15" s="136" t="str">
        <x:v>LIM-016-010</x:v>
      </x:c>
      <x:c r="B15" s="136" t="str">
        <x:v>Detector</x:v>
      </x:c>
      <x:c r="C15" s="136" t="str">
        <x:v>Efficiency is relative and afterpulse/background are scalar IID approximations</x:v>
      </x:c>
      <x:c r="D15" s="136" t="str">
        <x:v>Dead time recovery jitter saturation and detector history are absent</x:v>
      </x:c>
      <x:c r="E15" s="136" t="str">
        <x:v>Introduce a proof-compatible detector model</x:v>
      </x:c>
      <x:c r="F15" s="136" t="str">
        <x:v>UNMAPPED-BLOCKING</x:v>
      </x:c>
    </x:row>
    <x:row r="16" ht="54" customHeight="1">
      <x:c r="A16" s="137" t="str">
        <x:v>LIM-016-011</x:v>
      </x:c>
      <x:c r="B16" s="137" t="str">
        <x:v>Detector</x:v>
      </x:c>
      <x:c r="C16" s="137" t="str">
        <x:v>Efficiency mismatch over channel time wavelength and polarization is absent</x:v>
      </x:c>
      <x:c r="D16" s="137" t="str">
        <x:v>The receiver measurement model is incomplete</x:v>
      </x:c>
      <x:c r="E16" s="137" t="str">
        <x:v>Select and bound a mismatch-aware model</x:v>
      </x:c>
      <x:c r="F16" s="137" t="str">
        <x:v>UNMAPPED-BLOCKING</x:v>
      </x:c>
    </x:row>
    <x:row r="17" ht="54" customHeight="1">
      <x:c r="A17" s="136" t="str">
        <x:v>LIM-016-012</x:v>
      </x:c>
      <x:c r="B17" s="136" t="str">
        <x:v>Certification</x:v>
      </x:c>
      <x:c r="C17" s="136" t="str">
        <x:v>No device-parameter confidence region or certification failure probability is composed into a security budget</x:v>
      </x:c>
      <x:c r="D17" s="136" t="str">
        <x:v>No characterization-to-proof guarantee exists</x:v>
      </x:c>
      <x:c r="E17" s="136" t="str">
        <x:v>Define simultaneous coverage and compositional accounting</x:v>
      </x:c>
      <x:c r="F17" s="136" t="str">
        <x:v>UNMAPPED-BLOCKING</x:v>
      </x:c>
    </x:row>
    <x:row r="18" ht="54" customHeight="1">
      <x:c r="A18" s="137" t="str">
        <x:v>LIM-016-013</x:v>
      </x:c>
      <x:c r="B18" s="137" t="str">
        <x:v>Channel</x:v>
      </x:c>
      <x:c r="C18" s="137" t="str">
        <x:v>Atmosphere turbulence pointing and background are not dynamically decomposed</x:v>
      </x:c>
      <x:c r="D18" s="137" t="str">
        <x:v>The aggregate curve cannot predict Tabuk availability or outages</x:v>
      </x:c>
      <x:c r="E18" s="137" t="str">
        <x:v>Retain NOT-RUN until a future evidence-backed case is frozen</x:v>
      </x:c>
      <x:c r="F18" s="137" t="str">
        <x:v>OPEN-DISCLOSED</x:v>
      </x:c>
    </x:row>
    <x:row r="19" ht="54" customHeight="1">
      <x:c r="A19" s="136" t="str">
        <x:v>LIM-016-014</x:v>
      </x:c>
      <x:c r="B19" s="136" t="str">
        <x:v>Security</x:v>
      </x:c>
      <x:c r="C19" s="136" t="str">
        <x:v>Authentication privacy-amplification implementation endpoint security and KMS are not executed</x:v>
      </x:c>
      <x:c r="D19" s="136" t="str">
        <x:v>No key-release or operational-security claim</x:v>
      </x:c>
      <x:c r="E19" s="136" t="str">
        <x:v>Implement and test separately if physical scope is later authorized</x:v>
      </x:c>
      <x:c r="F19" s="136" t="str">
        <x:v>OPEN-BLOCKING</x:v>
      </x:c>
    </x:row>
    <x:row r="20" ht="54" customHeight="1">
      <x:c r="A20" s="137" t="str">
        <x:v>LIM-016-015</x:v>
      </x:c>
      <x:c r="B20" s="137" t="str">
        <x:v>Release</x:v>
      </x:c>
      <x:c r="C20" s="137" t="str">
        <x:v>No external technical review or publication approval is present</x:v>
      </x:c>
      <x:c r="D20" s="137" t="str">
        <x:v>Package remains private and preliminary</x:v>
      </x:c>
      <x:c r="E20" s="137" t="str">
        <x:v>Obtain named review and release authorization before publication</x:v>
      </x:c>
      <x:c r="F20" s="137" t="str">
        <x:v>PRIVATE-BLOCKED</x:v>
      </x:c>
    </x:row>
  </x:sheetData>
  <x:mergeCells>
    <x:mergeCell ref="A1:F2"/>
    <x:mergeCell ref="A3:F3"/>
  </x:mergeCells>
  <x:conditionalFormatting sqref="F6:F20">
    <x:cfRule type="containsText" dxfId="64" priority="1" operator="containsText" text="PASS"/>
    <x:cfRule type="containsText" dxfId="65" priority="2" operator="containsText" text="POSITIVE"/>
    <x:cfRule type="containsText" dxfId="66" priority="3" operator="containsText" text="BLOCKED"/>
    <x:cfRule type="containsText" dxfId="67" priority="4" operator="containsText" text="PROHIBITED"/>
    <x:cfRule type="containsText" dxfId="68" priority="5" operator="containsText" text="NONPOSITIVE"/>
    <x:cfRule type="containsText" dxfId="69" priority="6" operator="containsText" text="NOT-"/>
    <x:cfRule type="containsText" dxfId="70" priority="7" operator="containsText" text="UNMAPPED"/>
    <x:cfRule type="containsText" dxfId="71" priority="8" operator="containsText" text="QUARANTIN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8" hidden="0" customWidth="1"/>
    <x:col min="5" max="5" width="46" hidden="0" customWidth="1"/>
  </x:cols>
  <x:sheetData>
    <x:row r="1" ht="27" customHeight="1">
      <x:c r="A1" s="3" t="str">
        <x:v>Theoretical progression gates</x:v>
      </x:c>
      <x:c r="B1" s="3" t="str">
        <x:v>Theoretical progression gates</x:v>
      </x:c>
      <x:c r="C1" s="3" t="str">
        <x:v>Theoretical progression gates</x:v>
      </x:c>
      <x:c r="D1" s="3" t="str">
        <x:v>Theoretical progression gates</x:v>
      </x:c>
      <x:c r="E1" s="3" t="str">
        <x:v>Theoretical progression gates</x:v>
      </x:c>
    </x:row>
    <x:row r="2" ht="27" customHeight="1">
      <x:c r="A2" s="3" t="str">
        <x:v>Theoretical progression gates</x:v>
      </x:c>
      <x:c r="B2" s="3" t="str">
        <x:v>Theoretical progression gates</x:v>
      </x:c>
      <x:c r="C2" s="3" t="str">
        <x:v>Theoretical progression gates</x:v>
      </x:c>
      <x:c r="D2" s="3" t="str">
        <x:v>Theoretical progression gates</x:v>
      </x:c>
      <x:c r="E2" s="3" t="str">
        <x:v>Theoretical progression gates</x:v>
      </x:c>
    </x:row>
    <x:row r="3" ht="32" customHeight="1">
      <x:c r="A3" s="7" t="str">
        <x:v>Only controlled-input integrity and bounded numerical analysis pass. Physical, proof-completeness, Tabuk, release and publication gates remain non-permissive.</x:v>
      </x:c>
      <x:c r="B3" s="7" t="str">
        <x:v>Only controlled-input integrity and bounded numerical analysis pass. Physical, proof-completeness, Tabuk, release and publication gates remain non-permissive.</x:v>
      </x:c>
      <x:c r="C3" s="7" t="str">
        <x:v>Only controlled-input integrity and bounded numerical analysis pass. Physical, proof-completeness, Tabuk, release and publication gates remain non-permissive.</x:v>
      </x:c>
      <x:c r="D3" s="7" t="str">
        <x:v>Only controlled-input integrity and bounded numerical analysis pass. Physical, proof-completeness, Tabuk, release and publication gates remain non-permissive.</x:v>
      </x:c>
      <x:c r="E3" s="7" t="str">
        <x:v>Only controlled-input integrity and bounded numerical analysis pass. Physical, proof-completeness, Tabuk, release and publication gates remain non-permissive.</x:v>
      </x:c>
    </x:row>
    <x:row r="5" ht="38" customHeight="1">
      <x:c r="A5" s="13" t="str">
        <x:v>gate_id</x:v>
      </x:c>
      <x:c r="B5" s="13" t="str">
        <x:v>gate</x:v>
      </x:c>
      <x:c r="C5" s="13" t="str">
        <x:v>criterion</x:v>
      </x:c>
      <x:c r="D5" s="13" t="str">
        <x:v>current_state</x:v>
      </x:c>
      <x:c r="E5" s="13" t="str">
        <x:v>consequence</x:v>
      </x:c>
    </x:row>
    <x:row r="6" ht="46" customHeight="1">
      <x:c r="A6" s="137" t="str">
        <x:v>TA-G01</x:v>
      </x:c>
      <x:c r="B6" s="137" t="str">
        <x:v>Controlled-input integrity</x:v>
      </x:c>
      <x:c r="C6" s="137" t="str">
        <x:v>All 17 copied predecessor files match recorded hashes</x:v>
      </x:c>
      <x:c r="D6" s="137" t="str">
        <x:v>PASS-CONTROLLED</x:v>
      </x:c>
      <x:c r="E6" s="137" t="str">
        <x:v>Permits use of the copied files as controlled theoretical inputs only</x:v>
      </x:c>
    </x:row>
    <x:row r="7" ht="46" customHeight="1">
      <x:c r="A7" s="136" t="str">
        <x:v>TA-G02</x:v>
      </x:c>
      <x:c r="B7" s="136" t="str">
        <x:v>Fixture reproduction</x:v>
      </x:c>
      <x:c r="C7" s="136" t="str">
        <x:v>V0.6 selected window and declared numerical outputs match tolerances</x:v>
      </x:c>
      <x:c r="D7" s="136" t="str">
        <x:v>PASS-THEORETICAL</x:v>
      </x:c>
      <x:c r="E7" s="136" t="str">
        <x:v>Permits only software-regression statement</x:v>
      </x:c>
    </x:row>
    <x:row r="8" ht="46" customHeight="1">
      <x:c r="A8" s="137" t="str">
        <x:v>TA-G03</x:v>
      </x:c>
      <x:c r="B8" s="137" t="str">
        <x:v>Deterministic grid integrity</x:v>
      </x:c>
      <x:c r="C8" s="137" t="str">
        <x:v>Exactly 1681 unique finite rows with a complete state partition</x:v>
      </x:c>
      <x:c r="D8" s="137" t="str">
        <x:v>PASS-THEORETICAL</x:v>
      </x:c>
      <x:c r="E8" s="137" t="str">
        <x:v>Permits only bounded design-space reporting</x:v>
      </x:c>
    </x:row>
    <x:row r="9" ht="46" customHeight="1">
      <x:c r="A9" s="136" t="str">
        <x:v>TA-G04</x:v>
      </x:c>
      <x:c r="B9" s="136" t="str">
        <x:v>Boundary invariants</x:v>
      </x:c>
      <x:c r="C9" s="136" t="str">
        <x:v>Physical execution absent and unmapped effects receive no invented penalty</x:v>
      </x:c>
      <x:c r="D9" s="136" t="str">
        <x:v>PASS-THEORETICAL</x:v>
      </x:c>
      <x:c r="E9" s="136" t="str">
        <x:v>Preserves fail-closed interpretation</x:v>
      </x:c>
    </x:row>
    <x:row r="10" ht="46" customHeight="1">
      <x:c r="A10" s="137" t="str">
        <x:v>TA-G05</x:v>
      </x:c>
      <x:c r="B10" s="137" t="str">
        <x:v>Proof-to-device completeness</x:v>
      </x:c>
      <x:c r="C10" s="137" t="str">
        <x:v>Every security-relevant imperfection has a selected proof-compatible map</x:v>
      </x:c>
      <x:c r="D10" s="137" t="str">
        <x:v>BLOCKED</x:v>
      </x:c>
      <x:c r="E10" s="137" t="str">
        <x:v>No implementation-security claim</x:v>
      </x:c>
    </x:row>
    <x:row r="11" ht="46" customHeight="1">
      <x:c r="A11" s="136" t="str">
        <x:v>TA-G06</x:v>
      </x:c>
      <x:c r="B11" s="136" t="str">
        <x:v>Characterization confidence</x:v>
      </x:c>
      <x:c r="C11" s="136" t="str">
        <x:v>All device parameters have simultaneous confidence coverage composed with the security statement</x:v>
      </x:c>
      <x:c r="D11" s="136" t="str">
        <x:v>BLOCKED</x:v>
      </x:c>
      <x:c r="E11" s="136" t="str">
        <x:v>No certification or composable-security claim</x:v>
      </x:c>
    </x:row>
    <x:row r="12" ht="46" customHeight="1">
      <x:c r="A12" s="137" t="str">
        <x:v>TA-G07</x:v>
      </x:c>
      <x:c r="B12" s="137" t="str">
        <x:v>Physical characterization</x:v>
      </x:c>
      <x:c r="C12" s="137" t="str">
        <x:v>Serialized source and detector evidence acquired and reviewed</x:v>
      </x:c>
      <x:c r="D12" s="137" t="str">
        <x:v>NOT-EXECUTED</x:v>
      </x:c>
      <x:c r="E12" s="137" t="str">
        <x:v>No device acceptance or purchase recommendation</x:v>
      </x:c>
    </x:row>
    <x:row r="13" ht="46" customHeight="1">
      <x:c r="A13" s="136" t="str">
        <x:v>TA-G08</x:v>
      </x:c>
      <x:c r="B13" s="136" t="str">
        <x:v>Hardware-in-loop</x:v>
      </x:c>
      <x:c r="C13" s="136" t="str">
        <x:v>Authorized non-emitting and optical integrations completed</x:v>
      </x:c>
      <x:c r="D13" s="136" t="str">
        <x:v>BLOCKED</x:v>
      </x:c>
      <x:c r="E13" s="136" t="str">
        <x:v>No operational or HIL claim</x:v>
      </x:c>
    </x:row>
    <x:row r="14" ht="46" customHeight="1">
      <x:c r="A14" s="137" t="str">
        <x:v>TA-G09</x:v>
      </x:c>
      <x:c r="B14" s="137" t="str">
        <x:v>Tabuk case</x:v>
      </x:c>
      <x:c r="C14" s="137" t="str">
        <x:v>Parcel orbit atmosphere terminal and safety case frozen</x:v>
      </x:c>
      <x:c r="D14" s="137" t="str">
        <x:v>NOT-RUN/NONE</x:v>
      </x:c>
      <x:c r="E14" s="137" t="str">
        <x:v>No Tabuk quantitative result</x:v>
      </x:c>
    </x:row>
    <x:row r="15" ht="46" customHeight="1">
      <x:c r="A15" s="136" t="str">
        <x:v>TA-G10</x:v>
      </x:c>
      <x:c r="B15" s="136" t="str">
        <x:v>Key release</x:v>
      </x:c>
      <x:c r="C15" s="136" t="str">
        <x:v>Authenticated implementation and two-sided EKM evidence accepted</x:v>
      </x:c>
      <x:c r="D15" s="136" t="str">
        <x:v>QUARANTINED/ZERO-RELEASED</x:v>
      </x:c>
      <x:c r="E15" s="136" t="str">
        <x:v>No key material may be treated as available</x:v>
      </x:c>
    </x:row>
    <x:row r="16" ht="46" customHeight="1">
      <x:c r="A16" s="137" t="str">
        <x:v>TA-G11</x:v>
      </x:c>
      <x:c r="B16" s="137" t="str">
        <x:v>External release</x:v>
      </x:c>
      <x:c r="C16" s="137" t="str">
        <x:v>Named review and publication authorization recorded</x:v>
      </x:c>
      <x:c r="D16" s="137" t="str">
        <x:v>PRIVATE-BLOCKED</x:v>
      </x:c>
      <x:c r="E16" s="137" t="str">
        <x:v>Package remains private</x:v>
      </x:c>
    </x:row>
  </x:sheetData>
  <x:mergeCells>
    <x:mergeCell ref="A1:E2"/>
    <x:mergeCell ref="A3:E3"/>
  </x:mergeCells>
  <x:conditionalFormatting sqref="D6:D16">
    <x:cfRule type="containsText" dxfId="72" priority="1" operator="containsText" text="PASS"/>
    <x:cfRule type="containsText" dxfId="73" priority="2" operator="containsText" text="POSITIVE"/>
    <x:cfRule type="containsText" dxfId="74" priority="3" operator="containsText" text="BLOCKED"/>
    <x:cfRule type="containsText" dxfId="75" priority="4" operator="containsText" text="PROHIBITED"/>
    <x:cfRule type="containsText" dxfId="76" priority="5" operator="containsText" text="NONPOSITIVE"/>
    <x:cfRule type="containsText" dxfId="77" priority="6" operator="containsText" text="NOT-"/>
    <x:cfRule type="containsText" dxfId="78" priority="7" operator="containsText" text="UNMAPPED"/>
    <x:cfRule type="containsText" dxfId="79" priority="8" operator="containsText" text="QUARANTIN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46" hidden="0" customWidth="1"/>
  </x:cols>
  <x:sheetData>
    <x:row r="1" ht="27" customHeight="1">
      <x:c r="A1" s="3" t="str">
        <x:v>Claim boundary register</x:v>
      </x:c>
      <x:c r="B1" s="3" t="str">
        <x:v>Claim boundary register</x:v>
      </x:c>
      <x:c r="C1" s="3" t="str">
        <x:v>Claim boundary register</x:v>
      </x:c>
      <x:c r="D1" s="3" t="str">
        <x:v>Claim boundary register</x:v>
      </x:c>
    </x:row>
    <x:row r="2" ht="27" customHeight="1">
      <x:c r="A2" s="3" t="str">
        <x:v>Claim boundary register</x:v>
      </x:c>
      <x:c r="B2" s="3" t="str">
        <x:v>Claim boundary register</x:v>
      </x:c>
      <x:c r="C2" s="3" t="str">
        <x:v>Claim boundary register</x:v>
      </x:c>
      <x:c r="D2" s="3" t="str">
        <x:v>Claim boundary register</x:v>
      </x:c>
    </x:row>
    <x:row r="3" ht="32" customHeight="1">
      <x:c r="A3" s="7" t="str">
        <x:v>Permitted statements are exact package facts with qualifiers. Device, procurement, security, Tabuk and mission claims are prohibited.</x:v>
      </x:c>
      <x:c r="B3" s="7" t="str">
        <x:v>Permitted statements are exact package facts with qualifiers. Device, procurement, security, Tabuk and mission claims are prohibited.</x:v>
      </x:c>
      <x:c r="C3" s="7" t="str">
        <x:v>Permitted statements are exact package facts with qualifiers. Device, procurement, security, Tabuk and mission claims are prohibited.</x:v>
      </x:c>
      <x:c r="D3" s="7" t="str">
        <x:v>Permitted statements are exact package facts with qualifiers. Device, procurement, security, Tabuk and mission claims are prohibited.</x:v>
      </x:c>
    </x:row>
    <x:row r="5" ht="38" customHeight="1">
      <x:c r="A5" s="13" t="str">
        <x:v>claim_id</x:v>
      </x:c>
      <x:c r="B5" s="13" t="str">
        <x:v>statement</x:v>
      </x:c>
      <x:c r="C5" s="13" t="str">
        <x:v>disposition</x:v>
      </x:c>
      <x:c r="D5" s="13" t="str">
        <x:v>reason</x:v>
      </x:c>
    </x:row>
    <x:row r="6" ht="46" customHeight="1">
      <x:c r="A6" s="137" t="str">
        <x:v>CLM-001</x:v>
      </x:c>
      <x:c r="B6" s="137" t="str">
        <x:v>V0.6 reference fixture is reproduced at 41338 floored bits with a 102 second half-window</x:v>
      </x:c>
      <x:c r="C6" s="137" t="str">
        <x:v>PERMITTED</x:v>
      </x:c>
      <x:c r="D6" s="137" t="str">
        <x:v>Exact deterministic software regression for the controlled fixture</x:v>
      </x:c>
    </x:row>
    <x:row r="7" ht="46" customHeight="1">
      <x:c r="A7" s="136" t="str">
        <x:v>CLM-002</x:v>
      </x:c>
      <x:c r="B7" s="136" t="str">
        <x:v>All 12 V0.16 regression and boundary-invariant tests pass</x:v>
      </x:c>
      <x:c r="C7" s="136" t="str">
        <x:v>PERMITTED</x:v>
      </x:c>
      <x:c r="D7" s="136" t="str">
        <x:v>Machine-checked package fact</x:v>
      </x:c>
    </x:row>
    <x:row r="8" ht="46" customHeight="1">
      <x:c r="A8" s="137" t="str">
        <x:v>CLM-003</x:v>
      </x:c>
      <x:c r="B8" s="137" t="str">
        <x:v>The declared 41 by 41 p_ec versus intrinsic-QBER grid contains 568 positive and 1113 nonpositive signed-margin cases</x:v>
      </x:c>
      <x:c r="C8" s="137" t="str">
        <x:v>PERMITTED</x:v>
      </x:c>
      <x:c r="D8" s="137" t="str">
        <x:v>Deterministic design-space result with non-probabilistic ranges</x:v>
      </x:c>
    </x:row>
    <x:row r="9" ht="46" customHeight="1">
      <x:c r="A9" s="136" t="str">
        <x:v>CLM-004</x:v>
      </x:c>
      <x:c r="B9" s="136" t="str">
        <x:v>Only 33.789 percent of the declared grid is positive</x:v>
      </x:c>
      <x:c r="C9" s="136" t="str">
        <x:v>PERMITTED-WITH-QUALIFIER</x:v>
      </x:c>
      <x:c r="D9" s="136" t="str">
        <x:v>Must be described as a grid fraction and never reliability availability or success probability</x:v>
      </x:c>
    </x:row>
    <x:row r="10" ht="46" customHeight="1">
      <x:c r="A10" s="137" t="str">
        <x:v>CLM-005</x:v>
      </x:c>
      <x:c r="B10" s="137" t="str">
        <x:v>Additional loss has the largest absolute local response under the declared step definitions</x:v>
      </x:c>
      <x:c r="C10" s="137" t="str">
        <x:v>PERMITTED-WITH-QUALIFIER</x:v>
      </x:c>
      <x:c r="D10" s="137" t="str">
        <x:v>Step sizes differ and the ranking is local numerical response only</x:v>
      </x:c>
    </x:row>
    <x:row r="11" ht="46" customHeight="1">
      <x:c r="A11" s="136" t="str">
        <x:v>CLM-006</x:v>
      </x:c>
      <x:c r="B11" s="136" t="str">
        <x:v>The one-parameter crossing values are device requirements or acceptance thresholds</x:v>
      </x:c>
      <x:c r="C11" s="136" t="str">
        <x:v>PROHIBITED</x:v>
      </x:c>
      <x:c r="D11" s="136" t="str">
        <x:v>They are software-fixture frontiers with all other parameters frozen</x:v>
      </x:c>
    </x:row>
    <x:row r="12" ht="46" customHeight="1">
      <x:c r="A12" s="137" t="str">
        <x:v>CLM-007</x:v>
      </x:c>
      <x:c r="B12" s="137" t="str">
        <x:v>Q-Orbit has characterized a source or detector</x:v>
      </x:c>
      <x:c r="C12" s="137" t="str">
        <x:v>PROHIBITED</x:v>
      </x:c>
      <x:c r="D12" s="137" t="str">
        <x:v>V0.15 evidence count and V0.16 physical execution count remain zero</x:v>
      </x:c>
    </x:row>
    <x:row r="13" ht="46" customHeight="1">
      <x:c r="A13" s="136" t="str">
        <x:v>CLM-008</x:v>
      </x:c>
      <x:c r="B13" s="136" t="str">
        <x:v>Q-Orbit has selected or should purchase a laser source detector telescope or other hardware</x:v>
      </x:c>
      <x:c r="C13" s="136" t="str">
        <x:v>PROHIBITED</x:v>
      </x:c>
      <x:c r="D13" s="136" t="str">
        <x:v>No device identity evidence or procurement decision is in scope</x:v>
      </x:c>
    </x:row>
    <x:row r="14" ht="46" customHeight="1">
      <x:c r="A14" s="137" t="str">
        <x:v>CLM-009</x:v>
      </x:c>
      <x:c r="B14" s="137" t="str">
        <x:v>The modeled key is cryptographically releasable</x:v>
      </x:c>
      <x:c r="C14" s="137" t="str">
        <x:v>PROHIBITED</x:v>
      </x:c>
      <x:c r="D14" s="137" t="str">
        <x:v>Key release remains QUARANTINED/ZERO-RELEASED</x:v>
      </x:c>
    </x:row>
    <x:row r="15" ht="46" customHeight="1">
      <x:c r="A15" s="136" t="str">
        <x:v>CLM-010</x:v>
      </x:c>
      <x:c r="B15" s="136" t="str">
        <x:v>The calculation proves implementation security or composable system security</x:v>
      </x:c>
      <x:c r="C15" s="136" t="str">
        <x:v>PROHIBITED</x:v>
      </x:c>
      <x:c r="D15" s="136" t="str">
        <x:v>Several proof-to-device mappings are explicitly UNMAPPED</x:v>
      </x:c>
    </x:row>
    <x:row r="16" ht="46" customHeight="1">
      <x:c r="A16" s="137" t="str">
        <x:v>CLM-011</x:v>
      </x:c>
      <x:c r="B16" s="137" t="str">
        <x:v>The result predicts Tabuk performance</x:v>
      </x:c>
      <x:c r="C16" s="137" t="str">
        <x:v>PROHIBITED</x:v>
      </x:c>
      <x:c r="D16" s="137" t="str">
        <x:v>No parcel orbit atmosphere terminal or Tabuk run is represented</x:v>
      </x:c>
    </x:row>
    <x:row r="17" ht="46" customHeight="1">
      <x:c r="A17" s="136" t="str">
        <x:v>CLM-012</x:v>
      </x:c>
      <x:c r="B17" s="136" t="str">
        <x:v>The result establishes mission feasibility readiness certification or approval</x:v>
      </x:c>
      <x:c r="C17" s="136" t="str">
        <x:v>PROHIBITED</x:v>
      </x:c>
      <x:c r="D17" s="136" t="str">
        <x:v>Only bounded software-fixture propagation is performed</x:v>
      </x:c>
    </x:row>
    <x:row r="18" ht="46" customHeight="1">
      <x:c r="A18" s="137" t="str">
        <x:v>CLM-013</x:v>
      </x:c>
      <x:c r="B18" s="137" t="str">
        <x:v>The grid ranges define probability distributions</x:v>
      </x:c>
      <x:c r="C18" s="137" t="str">
        <x:v>PROHIBITED</x:v>
      </x:c>
      <x:c r="D18" s="137" t="str">
        <x:v>V0.7 ranges are uniform engineering screening bounds only</x:v>
      </x:c>
    </x:row>
    <x:row r="19" ht="46" customHeight="1">
      <x:c r="A19" s="136" t="str">
        <x:v>CLM-014</x:v>
      </x:c>
      <x:c r="B19" s="136" t="str">
        <x:v>QBER alone is an accepting security criterion</x:v>
      </x:c>
      <x:c r="C19" s="136" t="str">
        <x:v>PROHIBITED</x:v>
      </x:c>
      <x:c r="D19" s="136" t="str">
        <x:v>The frozen finite-key expression also requires vacuum and single-photon bounds phase-error bound leakage and security terms</x:v>
      </x:c>
    </x:row>
  </x:sheetData>
  <x:mergeCells>
    <x:mergeCell ref="A1:D2"/>
    <x:mergeCell ref="A3:D3"/>
  </x:mergeCells>
  <x:conditionalFormatting sqref="C6:C19">
    <x:cfRule type="containsText" dxfId="80" priority="1" operator="containsText" text="PASS"/>
    <x:cfRule type="containsText" dxfId="81" priority="2" operator="containsText" text="POSITIVE"/>
    <x:cfRule type="containsText" dxfId="82" priority="3" operator="containsText" text="BLOCKED"/>
    <x:cfRule type="containsText" dxfId="83" priority="4" operator="containsText" text="PROHIBITED"/>
    <x:cfRule type="containsText" dxfId="84" priority="5" operator="containsText" text="NONPOSITIVE"/>
    <x:cfRule type="containsText" dxfId="85" priority="6" operator="containsText" text="NOT-"/>
    <x:cfRule type="containsText" dxfId="86" priority="7" operator="containsText" text="UNMAPPED"/>
    <x:cfRule type="containsText" dxfId="87" priority="8" operator="containsText" text="QUARANTIN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42" hidden="0" customWidth="1"/>
    <x:col min="4" max="4" width="48" hidden="0" customWidth="1"/>
    <x:col min="5" max="5" width="22" hidden="0" customWidth="1"/>
    <x:col min="6" max="6" width="22" hidden="0" customWidth="1"/>
  </x:cols>
  <x:sheetData>
    <x:row r="1" ht="27" customHeight="1">
      <x:c r="A1" s="3" t="str">
        <x:v>Primary and controlled source register</x:v>
      </x:c>
      <x:c r="B1" s="3" t="str">
        <x:v>Primary and controlled source register</x:v>
      </x:c>
      <x:c r="C1" s="3" t="str">
        <x:v>Primary and controlled source register</x:v>
      </x:c>
      <x:c r="D1" s="3" t="str">
        <x:v>Primary and controlled source register</x:v>
      </x:c>
      <x:c r="E1" s="3" t="str">
        <x:v>Primary and controlled source register</x:v>
      </x:c>
      <x:c r="F1" s="3" t="str">
        <x:v>Primary and controlled source register</x:v>
      </x:c>
    </x:row>
    <x:row r="2" ht="27" customHeight="1">
      <x:c r="A2" s="3" t="str">
        <x:v>Primary and controlled source register</x:v>
      </x:c>
      <x:c r="B2" s="3" t="str">
        <x:v>Primary and controlled source register</x:v>
      </x:c>
      <x:c r="C2" s="3" t="str">
        <x:v>Primary and controlled source register</x:v>
      </x:c>
      <x:c r="D2" s="3" t="str">
        <x:v>Primary and controlled source register</x:v>
      </x:c>
      <x:c r="E2" s="3" t="str">
        <x:v>Primary and controlled source register</x:v>
      </x:c>
      <x:c r="F2" s="3" t="str">
        <x:v>Primary and controlled source register</x:v>
      </x:c>
    </x:row>
    <x:row r="3" ht="32" customHeight="1">
      <x:c r="A3" s="7" t="str">
        <x:v>Primary papers support method or proof-boundary statements only. No published device value is promoted to a Q-Orbit input.</x:v>
      </x:c>
      <x:c r="B3" s="7" t="str">
        <x:v>Primary papers support method or proof-boundary statements only. No published device value is promoted to a Q-Orbit input.</x:v>
      </x:c>
      <x:c r="C3" s="7" t="str">
        <x:v>Primary papers support method or proof-boundary statements only. No published device value is promoted to a Q-Orbit input.</x:v>
      </x:c>
      <x:c r="D3" s="7" t="str">
        <x:v>Primary papers support method or proof-boundary statements only. No published device value is promoted to a Q-Orbit input.</x:v>
      </x:c>
      <x:c r="E3" s="7" t="str">
        <x:v>Primary papers support method or proof-boundary statements only. No published device value is promoted to a Q-Orbit input.</x:v>
      </x:c>
      <x:c r="F3" s="7" t="str">
        <x:v>Primary papers support method or proof-boundary statements only. No published device value is promoted to a Q-Orbit input.</x:v>
      </x:c>
    </x:row>
    <x:row r="5" ht="38" customHeight="1">
      <x:c r="A5" s="13" t="str">
        <x:v>source_id</x:v>
      </x:c>
      <x:c r="B5" s="13" t="str">
        <x:v>source_type</x:v>
      </x:c>
      <x:c r="C5" s="13" t="str">
        <x:v>citation_or_identity</x:v>
      </x:c>
      <x:c r="D5" s="13" t="str">
        <x:v>locator</x:v>
      </x:c>
      <x:c r="E5" s="13" t="str">
        <x:v>use_in_v0_16</x:v>
      </x:c>
      <x:c r="F5" s="13" t="str">
        <x:v>applicability_limit</x:v>
      </x:c>
    </x:row>
    <x:row r="6" ht="58" customHeight="1">
      <x:c r="A6" s="137" t="str">
        <x:v>SRC-016-001</x:v>
      </x:c>
      <x:c r="B6" s="137" t="str">
        <x:v>PRIMARY-PAPER</x:v>
      </x:c>
      <x:c r="C6" s="137" t="str">
        <x:v>J. S. Sidhu et al., Finite key effects in satellite quantum key distribution, npj Quantum Information 8, 18 (2022)</x:v>
      </x:c>
      <x:c r="D6" s="137" t="str">
        <x:v>https://doi.org/10.1038/s41534-022-00525-3</x:v>
      </x:c>
      <x:c r="E6" s="137" t="str">
        <x:v>Frozen finite-block efficient-BB84 WCP two-decoy mathematical basis and parameter-dependence context</x:v>
      </x:c>
      <x:c r="F6" s="137" t="str">
        <x:v>Does not establish Q-Orbit device site or mission values</x:v>
      </x:c>
    </x:row>
    <x:row r="7" ht="58" customHeight="1">
      <x:c r="A7" s="136" t="str">
        <x:v>SRC-016-002</x:v>
      </x:c>
      <x:c r="B7" s="136" t="str">
        <x:v>PRIMARY-PAPER</x:v>
      </x:c>
      <x:c r="C7" s="136" t="str">
        <x:v>S. Nahar et al., Imperfect phase randomization and generalized decoy-state quantum key distribution, Physical Review Applied 20, 064031 (2023)</x:v>
      </x:c>
      <x:c r="D7" s="136" t="str">
        <x:v>https://doi.org/10.1103/PhysRevApplied.20.064031</x:v>
      </x:c>
      <x:c r="E7" s="136" t="str">
        <x:v>Identifies phase-randomization and pulse-distribution assumptions requiring generalized treatment</x:v>
      </x:c>
      <x:c r="F7" s="136" t="str">
        <x:v>No numerical penalty imported into the frozen Q-Orbit fixture</x:v>
      </x:c>
    </x:row>
    <x:row r="8" ht="58" customHeight="1">
      <x:c r="A8" s="137" t="str">
        <x:v>SRC-016-003</x:v>
      </x:c>
      <x:c r="B8" s="137" t="str">
        <x:v>PRIMARY-PAPER</x:v>
      </x:c>
      <x:c r="C8" s="137" t="str">
        <x:v>F. Xu et al., Experimental quantum key distribution with source flaws, Physical Review A 92, 032305 (2015)</x:v>
      </x:c>
      <x:c r="D8" s="137" t="str">
        <x:v>https://doi.org/10.1103/PhysRevA.92.032305</x:v>
      </x:c>
      <x:c r="E8" s="137" t="str">
        <x:v>Supports explicit source-flaw characterization and proof integration</x:v>
      </x:c>
      <x:c r="F8" s="137" t="str">
        <x:v>Experimental values are not Q-Orbit inputs</x:v>
      </x:c>
    </x:row>
    <x:row r="9" ht="58" customHeight="1">
      <x:c r="A9" s="136" t="str">
        <x:v>SRC-016-004</x:v>
      </x:c>
      <x:c r="B9" s="136" t="str">
        <x:v>PRIMARY-PAPER</x:v>
      </x:c>
      <x:c r="C9" s="136" t="str">
        <x:v>E. Y.-Z. Tan and S. Nahar, Incorporating Device Characterization into Security Proofs, PRX Quantum 7, 020342 (2026)</x:v>
      </x:c>
      <x:c r="D9" s="136" t="str">
        <x:v>https://doi.org/10.1103/f42p-524t</x:v>
      </x:c>
      <x:c r="E9" s="136" t="str">
        <x:v>Framework basis for separating characterization conclusions from proof validity and requiring parameter-range linkage</x:v>
      </x:c>
      <x:c r="F9" s="136" t="str">
        <x:v>Does not certify Q-Orbit devices or close any gate</x:v>
      </x:c>
    </x:row>
    <x:row r="10" ht="58" customHeight="1">
      <x:c r="A10" s="137" t="str">
        <x:v>SRC-016-005</x:v>
      </x:c>
      <x:c r="B10" s="137" t="str">
        <x:v>CONTROLLED-INTERNAL</x:v>
      </x:c>
      <x:c r="C10" s="137" t="str">
        <x:v>Q-Orbit CASE-S1 V0.6 manifest baseline implementation and loss curve</x:v>
      </x:c>
      <x:c r="D10" s="137" t="str">
        <x:v>controlled_inputs/v0.6</x:v>
      </x:c>
      <x:c r="E10" s="137" t="str">
        <x:v>Frozen numerical fixture and exact reproduction target</x:v>
      </x:c>
      <x:c r="F10" s="137" t="str">
        <x:v>Modeled reference fixture only</x:v>
      </x:c>
    </x:row>
    <x:row r="11" ht="58" customHeight="1">
      <x:c r="A11" s="136" t="str">
        <x:v>SRC-016-006</x:v>
      </x:c>
      <x:c r="B11" s="136" t="str">
        <x:v>CONTROLLED-INTERNAL</x:v>
      </x:c>
      <x:c r="C11" s="136" t="str">
        <x:v>Q-Orbit V0.7 parameter and provenance register</x:v>
      </x:c>
      <x:c r="D11" s="136" t="str">
        <x:v>controlled_inputs/v0.7</x:v>
      </x:c>
      <x:c r="E11" s="136" t="str">
        <x:v>Source of p_ec and intrinsic-QBER screening ranges</x:v>
      </x:c>
      <x:c r="F11" s="136" t="str">
        <x:v>Ranges are engineering screens not probability distributions</x:v>
      </x:c>
    </x:row>
    <x:row r="12" ht="58" customHeight="1">
      <x:c r="A12" s="137" t="str">
        <x:v>SRC-016-007</x:v>
      </x:c>
      <x:c r="B12" s="137" t="str">
        <x:v>CONTROLLED-INTERNAL</x:v>
      </x:c>
      <x:c r="C12" s="137" t="str">
        <x:v>Q-Orbit Chapters 6 and 7 V0.11R1</x:v>
      </x:c>
      <x:c r="D12" s="137" t="str">
        <x:v>controlled_inputs/v0.11r1</x:v>
      </x:c>
      <x:c r="E12" s="137" t="str">
        <x:v>Handbook method and claim-control baseline</x:v>
      </x:c>
      <x:c r="F12" s="137" t="str">
        <x:v>Desk baseline only</x:v>
      </x:c>
    </x:row>
    <x:row r="13" ht="58" customHeight="1">
      <x:c r="A13" s="136" t="str">
        <x:v>SRC-016-008</x:v>
      </x:c>
      <x:c r="B13" s="136" t="str">
        <x:v>CONTROLLED-INTERNAL</x:v>
      </x:c>
      <x:c r="C13" s="136" t="str">
        <x:v>Q-Orbit terminal and model validation V0.12</x:v>
      </x:c>
      <x:c r="D13" s="136" t="str">
        <x:v>controlled_inputs/v0.12</x:v>
      </x:c>
      <x:c r="E13" s="136" t="str">
        <x:v>Protocol input contract and inherited limitation register</x:v>
      </x:c>
      <x:c r="F13" s="136" t="str">
        <x:v>Physical empirical gates remain open</x:v>
      </x:c>
    </x:row>
    <x:row r="14" ht="58" customHeight="1">
      <x:c r="A14" s="137" t="str">
        <x:v>SRC-016-009</x:v>
      </x:c>
      <x:c r="B14" s="137" t="str">
        <x:v>CONTROLLED-INTERNAL</x:v>
      </x:c>
      <x:c r="C14" s="137" t="str">
        <x:v>Q-Orbit independent model comparison V0.13</x:v>
      </x:c>
      <x:c r="D14" s="137" t="str">
        <x:v>controlled_inputs/v0.13</x:v>
      </x:c>
      <x:c r="E14" s="137" t="str">
        <x:v>Numerical comparison and limitation inheritance</x:v>
      </x:c>
      <x:c r="F14" s="137" t="str">
        <x:v>Verification not validation</x:v>
      </x:c>
    </x:row>
    <x:row r="15" ht="58" customHeight="1">
      <x:c r="A15" s="136" t="str">
        <x:v>SRC-016-010</x:v>
      </x:c>
      <x:c r="B15" s="136" t="str">
        <x:v>CONTROLLED-INTERNAL</x:v>
      </x:c>
      <x:c r="C15" s="136" t="str">
        <x:v>Q-Orbit serialized source and detector evidence acquisition V0.15-EA1</x:v>
      </x:c>
      <x:c r="D15" s="136" t="str">
        <x:v>controlled_inputs/v0.15-ea1</x:v>
      </x:c>
      <x:c r="E15" s="136" t="str">
        <x:v>Confirms zero acquired measurements and blocked physical gates</x:v>
      </x:c>
      <x:c r="F15" s="136" t="str">
        <x:v>Acquisition contract only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8" hidden="0" customWidth="1"/>
    <x:col min="4" max="4" width="38" hidden="0" customWidth="1"/>
    <x:col min="5" max="5" width="48" hidden="0" customWidth="1"/>
    <x:col min="6" max="6" width="22" hidden="0" customWidth="1"/>
    <x:col min="7" max="7" width="42" hidden="0" customWidth="1"/>
    <x:col min="8" max="8" width="28" hidden="0" customWidth="1"/>
  </x:cols>
  <x:sheetData>
    <x:row r="1" ht="27" customHeight="1">
      <x:c r="A1" s="3" t="str">
        <x:v>Controlled predecessor input index | 17 files</x:v>
      </x:c>
      <x:c r="B1" s="3" t="str">
        <x:v>Controlled predecessor input index | 17 files</x:v>
      </x:c>
      <x:c r="C1" s="3" t="str">
        <x:v>Controlled predecessor input index | 17 files</x:v>
      </x:c>
      <x:c r="D1" s="3" t="str">
        <x:v>Controlled predecessor input index | 17 files</x:v>
      </x:c>
      <x:c r="E1" s="3" t="str">
        <x:v>Controlled predecessor input index | 17 files</x:v>
      </x:c>
      <x:c r="F1" s="3" t="str">
        <x:v>Controlled predecessor input index | 17 files</x:v>
      </x:c>
      <x:c r="G1" s="3" t="str">
        <x:v>Controlled predecessor input index | 17 files</x:v>
      </x:c>
      <x:c r="H1" s="3" t="str">
        <x:v>Controlled predecessor input index | 17 files</x:v>
      </x:c>
    </x:row>
    <x:row r="2" ht="27" customHeight="1">
      <x:c r="A2" s="3" t="str">
        <x:v>Controlled predecessor input index | 17 files</x:v>
      </x:c>
      <x:c r="B2" s="3" t="str">
        <x:v>Controlled predecessor input index | 17 files</x:v>
      </x:c>
      <x:c r="C2" s="3" t="str">
        <x:v>Controlled predecessor input index | 17 files</x:v>
      </x:c>
      <x:c r="D2" s="3" t="str">
        <x:v>Controlled predecessor input index | 17 files</x:v>
      </x:c>
      <x:c r="E2" s="3" t="str">
        <x:v>Controlled predecessor input index | 17 files</x:v>
      </x:c>
      <x:c r="F2" s="3" t="str">
        <x:v>Controlled predecessor input index | 17 files</x:v>
      </x:c>
      <x:c r="G2" s="3" t="str">
        <x:v>Controlled predecessor input index | 17 files</x:v>
      </x:c>
      <x:c r="H2" s="3" t="str">
        <x:v>Controlled predecessor input index | 17 files</x:v>
      </x:c>
    </x:row>
    <x:row r="3" ht="32" customHeight="1">
      <x:c r="A3" s="7" t="str">
        <x:v>Hashes identify the exact copied files used by V0.16-TA1. Identity does not expand their original claim scope.</x:v>
      </x:c>
      <x:c r="B3" s="7" t="str">
        <x:v>Hashes identify the exact copied files used by V0.16-TA1. Identity does not expand their original claim scope.</x:v>
      </x:c>
      <x:c r="C3" s="7" t="str">
        <x:v>Hashes identify the exact copied files used by V0.16-TA1. Identity does not expand their original claim scope.</x:v>
      </x:c>
      <x:c r="D3" s="7" t="str">
        <x:v>Hashes identify the exact copied files used by V0.16-TA1. Identity does not expand their original claim scope.</x:v>
      </x:c>
      <x:c r="E3" s="7" t="str">
        <x:v>Hashes identify the exact copied files used by V0.16-TA1. Identity does not expand their original claim scope.</x:v>
      </x:c>
      <x:c r="F3" s="7" t="str">
        <x:v>Hashes identify the exact copied files used by V0.16-TA1. Identity does not expand their original claim scope.</x:v>
      </x:c>
      <x:c r="G3" s="7" t="str">
        <x:v>Hashes identify the exact copied files used by V0.16-TA1. Identity does not expand their original claim scope.</x:v>
      </x:c>
      <x:c r="H3" s="7" t="str">
        <x:v>Hashes identify the exact copied files used by V0.16-TA1. Identity does not expand their original claim scope.</x:v>
      </x:c>
    </x:row>
    <x:row r="5" ht="38" customHeight="1">
      <x:c r="A5" s="13" t="str">
        <x:v>controlled_input_id</x:v>
      </x:c>
      <x:c r="B5" s="13" t="str">
        <x:v>predecessor_version</x:v>
      </x:c>
      <x:c r="C5" s="13" t="str">
        <x:v>file_name</x:v>
      </x:c>
      <x:c r="D5" s="13" t="str">
        <x:v>controlled_path</x:v>
      </x:c>
      <x:c r="E5" s="13" t="str">
        <x:v>sha256</x:v>
      </x:c>
      <x:c r="F5" s="13" t="str">
        <x:v>size_bytes</x:v>
      </x:c>
      <x:c r="G5" s="13" t="str">
        <x:v>purpose</x:v>
      </x:c>
      <x:c r="H5" s="13" t="str">
        <x:v>identity_state</x:v>
      </x:c>
    </x:row>
    <x:row r="6" ht="44" customHeight="1">
      <x:c r="A6" s="137" t="str">
        <x:v>CI-016-001</x:v>
      </x:c>
      <x:c r="B6" s="137" t="str">
        <x:v>v0.11r1</x:v>
      </x:c>
      <x:c r="C6" s="137" t="str">
        <x:v>Q-Orbit_Engineering_Design_Handbook_V0.11R1_Chapter_6.md</x:v>
      </x:c>
      <x:c r="D6" s="137" t="str">
        <x:v>v0.11r1/Q-Orbit_Engineering_Design_Handbook_V0.11R1_Chapter_6.md</x:v>
      </x:c>
      <x:c r="E6" s="137" t="str">
        <x:v>349950842557e2c8485904c083fc89439a5f270477531d07c44006d0c76887bd</x:v>
      </x:c>
      <x:c r="F6" s="140" t="n">
        <x:v>45262</x:v>
      </x:c>
      <x:c r="G6" s="137" t="str">
        <x:v>Handbook Chapters 6 and 7 method and claim boundary</x:v>
      </x:c>
      <x:c r="H6" s="137" t="str">
        <x:v>HASH-RECORDED</x:v>
      </x:c>
    </x:row>
    <x:row r="7" ht="44" customHeight="1">
      <x:c r="A7" s="136" t="str">
        <x:v>CI-016-002</x:v>
      </x:c>
      <x:c r="B7" s="136" t="str">
        <x:v>v0.11r1</x:v>
      </x:c>
      <x:c r="C7" s="136" t="str">
        <x:v>Q-Orbit_Engineering_Design_Handbook_V0.11R1_Chapter_7.md</x:v>
      </x:c>
      <x:c r="D7" s="136" t="str">
        <x:v>v0.11r1/Q-Orbit_Engineering_Design_Handbook_V0.11R1_Chapter_7.md</x:v>
      </x:c>
      <x:c r="E7" s="136" t="str">
        <x:v>38c0cb7ba0582e656050b421ff11abe3ec01d0db921181235a4b206e1ca4f417</x:v>
      </x:c>
      <x:c r="F7" s="141" t="n">
        <x:v>26128</x:v>
      </x:c>
      <x:c r="G7" s="136" t="str">
        <x:v>Handbook Chapters 6 and 7 method and claim boundary</x:v>
      </x:c>
      <x:c r="H7" s="136" t="str">
        <x:v>HASH-RECORDED</x:v>
      </x:c>
    </x:row>
    <x:row r="8" ht="44" customHeight="1">
      <x:c r="A8" s="137" t="str">
        <x:v>CI-016-003</x:v>
      </x:c>
      <x:c r="B8" s="137" t="str">
        <x:v>v0.12</x:v>
      </x:c>
      <x:c r="C8" s="137" t="str">
        <x:v>Q-Orbit_Model_Input_Contract_V0.12.csv</x:v>
      </x:c>
      <x:c r="D8" s="137" t="str">
        <x:v>v0.12/Q-Orbit_Model_Input_Contract_V0.12.csv</x:v>
      </x:c>
      <x:c r="E8" s="137" t="str">
        <x:v>f84561e31862a4f68738835e62b9157170ba60c1e4d341adbd33e379492f2029</x:v>
      </x:c>
      <x:c r="F8" s="140" t="n">
        <x:v>17341</x:v>
      </x:c>
      <x:c r="G8" s="137" t="str">
        <x:v>Protocol profile, model input contract, limitation register and audit</x:v>
      </x:c>
      <x:c r="H8" s="137" t="str">
        <x:v>HASH-RECORDED</x:v>
      </x:c>
    </x:row>
    <x:row r="9" ht="44" customHeight="1">
      <x:c r="A9" s="136" t="str">
        <x:v>CI-016-004</x:v>
      </x:c>
      <x:c r="B9" s="136" t="str">
        <x:v>v0.12</x:v>
      </x:c>
      <x:c r="C9" s="136" t="str">
        <x:v>Q-Orbit_Model_Limitation_Register_V0.12.csv</x:v>
      </x:c>
      <x:c r="D9" s="136" t="str">
        <x:v>v0.12/Q-Orbit_Model_Limitation_Register_V0.12.csv</x:v>
      </x:c>
      <x:c r="E9" s="136" t="str">
        <x:v>ffa6204e28efcdcb44be2fd6d2a4cf8880bac16a35fd0e2f3b4791040410c045</x:v>
      </x:c>
      <x:c r="F9" s="141" t="n">
        <x:v>4628</x:v>
      </x:c>
      <x:c r="G9" s="136" t="str">
        <x:v>Protocol profile, model input contract, limitation register and audit</x:v>
      </x:c>
      <x:c r="H9" s="136" t="str">
        <x:v>HASH-RECORDED</x:v>
      </x:c>
    </x:row>
    <x:row r="10" ht="44" customHeight="1">
      <x:c r="A10" s="137" t="str">
        <x:v>CI-016-005</x:v>
      </x:c>
      <x:c r="B10" s="137" t="str">
        <x:v>v0.12</x:v>
      </x:c>
      <x:c r="C10" s="137" t="str">
        <x:v>Q-Orbit_Protocol_Implementation_Profile_V0.12.csv</x:v>
      </x:c>
      <x:c r="D10" s="137" t="str">
        <x:v>v0.12/Q-Orbit_Protocol_Implementation_Profile_V0.12.csv</x:v>
      </x:c>
      <x:c r="E10" s="137" t="str">
        <x:v>bf0e1586f95cfcf02abaac767a3d3579d4a98298a6f1ee01474cb6cc20851eff</x:v>
      </x:c>
      <x:c r="F10" s="140" t="n">
        <x:v>9402</x:v>
      </x:c>
      <x:c r="G10" s="137" t="str">
        <x:v>Protocol profile, model input contract, limitation register and audit</x:v>
      </x:c>
      <x:c r="H10" s="137" t="str">
        <x:v>HASH-RECORDED</x:v>
      </x:c>
    </x:row>
    <x:row r="11" ht="44" customHeight="1">
      <x:c r="A11" s="136" t="str">
        <x:v>CI-016-006</x:v>
      </x:c>
      <x:c r="B11" s="136" t="str">
        <x:v>v0.12</x:v>
      </x:c>
      <x:c r="C11" s="136" t="str">
        <x:v>Q-Orbit_QKD_Terminal_and_Model_Validation_Final_Audit_V0.12.json</x:v>
      </x:c>
      <x:c r="D11" s="136" t="str">
        <x:v>v0.12/Q-Orbit_QKD_Terminal_and_Model_Validation_Final_Audit_V0.12.json</x:v>
      </x:c>
      <x:c r="E11" s="136" t="str">
        <x:v>6e0b53dd85cd973971af7a92edf4e51782bc416d90b3376b0a2d779bc04a0431</x:v>
      </x:c>
      <x:c r="F11" s="141" t="n">
        <x:v>15422</x:v>
      </x:c>
      <x:c r="G11" s="136" t="str">
        <x:v>Protocol profile, model input contract, limitation register and audit</x:v>
      </x:c>
      <x:c r="H11" s="136" t="str">
        <x:v>HASH-RECORDED</x:v>
      </x:c>
    </x:row>
    <x:row r="12" ht="44" customHeight="1">
      <x:c r="A12" s="137" t="str">
        <x:v>CI-016-007</x:v>
      </x:c>
      <x:c r="B12" s="137" t="str">
        <x:v>v0.13</x:v>
      </x:c>
      <x:c r="C12" s="137" t="str">
        <x:v>Q-Orbit_Independent_Model_Comparison_Final_Audit_V0.13.json</x:v>
      </x:c>
      <x:c r="D12" s="137" t="str">
        <x:v>v0.13/Q-Orbit_Independent_Model_Comparison_Final_Audit_V0.13.json</x:v>
      </x:c>
      <x:c r="E12" s="137" t="str">
        <x:v>2783f6c37405272d5389b31c9c5c6d31d28b85b70582513ee067ed551941fa8e</x:v>
      </x:c>
      <x:c r="F12" s="140" t="n">
        <x:v>8030</x:v>
      </x:c>
      <x:c r="G12" s="137" t="str">
        <x:v>Independent numerical-comparison contract, limitations and audit</x:v>
      </x:c>
      <x:c r="H12" s="137" t="str">
        <x:v>HASH-RECORDED</x:v>
      </x:c>
    </x:row>
    <x:row r="13" ht="44" customHeight="1">
      <x:c r="A13" s="136" t="str">
        <x:v>CI-016-008</x:v>
      </x:c>
      <x:c r="B13" s="136" t="str">
        <x:v>v0.13</x:v>
      </x:c>
      <x:c r="C13" s="136" t="str">
        <x:v>Q-Orbit_V0.13_Limitation_Register.csv</x:v>
      </x:c>
      <x:c r="D13" s="136" t="str">
        <x:v>v0.13/Q-Orbit_V0.13_Limitation_Register.csv</x:v>
      </x:c>
      <x:c r="E13" s="136" t="str">
        <x:v>1a840739d5acc65c0db5ba7a5fcf1886544ef5cdd6f3da6df9ac1dff92b493bc</x:v>
      </x:c>
      <x:c r="F13" s="141" t="n">
        <x:v>1727</x:v>
      </x:c>
      <x:c r="G13" s="136" t="str">
        <x:v>Independent numerical-comparison contract, limitations and audit</x:v>
      </x:c>
      <x:c r="H13" s="136" t="str">
        <x:v>HASH-RECORDED</x:v>
      </x:c>
    </x:row>
    <x:row r="14" ht="44" customHeight="1">
      <x:c r="A14" s="137" t="str">
        <x:v>CI-016-009</x:v>
      </x:c>
      <x:c r="B14" s="137" t="str">
        <x:v>v0.13</x:v>
      </x:c>
      <x:c r="C14" s="137" t="str">
        <x:v>Q-Orbit_V0.13_Mathematical_Contract.csv</x:v>
      </x:c>
      <x:c r="D14" s="137" t="str">
        <x:v>v0.13/Q-Orbit_V0.13_Mathematical_Contract.csv</x:v>
      </x:c>
      <x:c r="E14" s="137" t="str">
        <x:v>4b48c6137a20f9b107143f6c6823dbf3177c078e4d8fdc5b0e6ccdd5abd87591</x:v>
      </x:c>
      <x:c r="F14" s="140" t="n">
        <x:v>3101</x:v>
      </x:c>
      <x:c r="G14" s="137" t="str">
        <x:v>Independent numerical-comparison contract, limitations and audit</x:v>
      </x:c>
      <x:c r="H14" s="137" t="str">
        <x:v>HASH-RECORDED</x:v>
      </x:c>
    </x:row>
    <x:row r="15" ht="44" customHeight="1">
      <x:c r="A15" s="136" t="str">
        <x:v>CI-016-010</x:v>
      </x:c>
      <x:c r="B15" s="136" t="str">
        <x:v>v0.15-ea1</x:v>
      </x:c>
      <x:c r="C15" s="136" t="str">
        <x:v>Q-Orbit_Serialized_Source_and_Detector_Evidence_Acquisition_Final_Audit_V0.15-EA1.json</x:v>
      </x:c>
      <x:c r="D15" s="136" t="str">
        <x:v>v0.15-ea1/Q-Orbit_Serialized_Source_and_Detector_Evidence_Acquisition_Final_Audit_V0.15-EA1.json</x:v>
      </x:c>
      <x:c r="E15" s="136" t="str">
        <x:v>76aaa4822d4560803a85403f48f248a870ef7e7351e71b02c34a8a13e10fdda2</x:v>
      </x:c>
      <x:c r="F15" s="141" t="n">
        <x:v>10169</x:v>
      </x:c>
      <x:c r="G15" s="136" t="str">
        <x:v>Evidence-acquisition identity and proof that physical evidence remains absent</x:v>
      </x:c>
      <x:c r="H15" s="136" t="str">
        <x:v>HASH-RECORDED</x:v>
      </x:c>
    </x:row>
    <x:row r="16" ht="44" customHeight="1">
      <x:c r="A16" s="137" t="str">
        <x:v>CI-016-011</x:v>
      </x:c>
      <x:c r="B16" s="137" t="str">
        <x:v>v0.15-ea1</x:v>
      </x:c>
      <x:c r="C16" s="137" t="str">
        <x:v>Q-Orbit_Serialized_Source_and_Detector_Evidence_Acquisition_Manifest_V0.15-EA1.json</x:v>
      </x:c>
      <x:c r="D16" s="137" t="str">
        <x:v>v0.15-ea1/Q-Orbit_Serialized_Source_and_Detector_Evidence_Acquisition_Manifest_V0.15-EA1.json</x:v>
      </x:c>
      <x:c r="E16" s="137" t="str">
        <x:v>158f67359805d28e8ac9022ca75643b789d33c2c20a09ef41e2342fcbe9fa4ae</x:v>
      </x:c>
      <x:c r="F16" s="140" t="n">
        <x:v>1186</x:v>
      </x:c>
      <x:c r="G16" s="137" t="str">
        <x:v>Evidence-acquisition identity and proof that physical evidence remains absent</x:v>
      </x:c>
      <x:c r="H16" s="137" t="str">
        <x:v>HASH-RECORDED</x:v>
      </x:c>
    </x:row>
    <x:row r="17" ht="44" customHeight="1">
      <x:c r="A17" s="136" t="str">
        <x:v>CI-016-012</x:v>
      </x:c>
      <x:c r="B17" s="136" t="str">
        <x:v>v0.15-ea1</x:v>
      </x:c>
      <x:c r="C17" s="136" t="str">
        <x:v>Q-Orbit_V0.15-EA1_Test_Matrix.csv</x:v>
      </x:c>
      <x:c r="D17" s="136" t="str">
        <x:v>v0.15-ea1/Q-Orbit_V0.15-EA1_Test_Matrix.csv</x:v>
      </x:c>
      <x:c r="E17" s="136" t="str">
        <x:v>918e248e33833d9eb0be79d405af1df0746da2af094f079c7ef5a0d7a009dcf3</x:v>
      </x:c>
      <x:c r="F17" s="141" t="n">
        <x:v>12732</x:v>
      </x:c>
      <x:c r="G17" s="136" t="str">
        <x:v>Evidence-acquisition identity and proof that physical evidence remains absent</x:v>
      </x:c>
      <x:c r="H17" s="136" t="str">
        <x:v>HASH-RECORDED</x:v>
      </x:c>
    </x:row>
    <x:row r="18" ht="44" customHeight="1">
      <x:c r="A18" s="137" t="str">
        <x:v>CI-016-013</x:v>
      </x:c>
      <x:c r="B18" s="137" t="str">
        <x:v>v0.6</x:v>
      </x:c>
      <x:c r="C18" s="137" t="str">
        <x:v>CASE-S1-REF-001_Baseline_Run_V0.6.json</x:v>
      </x:c>
      <x:c r="D18" s="137" t="str">
        <x:v>v0.6/CASE-S1-REF-001_Baseline_Run_V0.6.json</x:v>
      </x:c>
      <x:c r="E18" s="137" t="str">
        <x:v>3673acf4d9a737235a6bcd6facc0886d6b609760559fc548cf52d8c542632a33</x:v>
      </x:c>
      <x:c r="F18" s="140" t="n">
        <x:v>3063</x:v>
      </x:c>
      <x:c r="G18" s="137" t="str">
        <x:v>Frozen finite-key fixture, loss curve, baseline and reference implementation</x:v>
      </x:c>
      <x:c r="H18" s="137" t="str">
        <x:v>HASH-RECORDED</x:v>
      </x:c>
    </x:row>
    <x:row r="19" ht="44" customHeight="1">
      <x:c r="A19" s="136" t="str">
        <x:v>CI-016-014</x:v>
      </x:c>
      <x:c r="B19" s="136" t="str">
        <x:v>v0.6</x:v>
      </x:c>
      <x:c r="C19" s="136" t="str">
        <x:v>FS_loss_XI0.csv</x:v>
      </x:c>
      <x:c r="D19" s="136" t="str">
        <x:v>v0.6/FS_loss_XI0.csv</x:v>
      </x:c>
      <x:c r="E19" s="136" t="str">
        <x:v>2d8eca7992d0fe738bf25c1896b1aa5efe39fd81805fbf84464863f3777b5874</x:v>
      </x:c>
      <x:c r="F19" s="141" t="n">
        <x:v>20282</x:v>
      </x:c>
      <x:c r="G19" s="136" t="str">
        <x:v>Frozen finite-key fixture, loss curve, baseline and reference implementation</x:v>
      </x:c>
      <x:c r="H19" s="136" t="str">
        <x:v>HASH-RECORDED</x:v>
      </x:c>
    </x:row>
    <x:row r="20" ht="44" customHeight="1">
      <x:c r="A20" s="137" t="str">
        <x:v>CI-016-015</x:v>
      </x:c>
      <x:c r="B20" s="137" t="str">
        <x:v>v0.6</x:v>
      </x:c>
      <x:c r="C20" s="137" t="str">
        <x:v>Q-Orbit_CASE-S1_Run_Manifest_V0.6.json</x:v>
      </x:c>
      <x:c r="D20" s="137" t="str">
        <x:v>v0.6/Q-Orbit_CASE-S1_Run_Manifest_V0.6.json</x:v>
      </x:c>
      <x:c r="E20" s="137" t="str">
        <x:v>0714d6e76ff416cbb28f05817dd4f6e690b6657e4922a30b4896fb1c347c8583</x:v>
      </x:c>
      <x:c r="F20" s="140" t="n">
        <x:v>9428</x:v>
      </x:c>
      <x:c r="G20" s="137" t="str">
        <x:v>Frozen finite-key fixture, loss curve, baseline and reference implementation</x:v>
      </x:c>
      <x:c r="H20" s="137" t="str">
        <x:v>HASH-RECORDED</x:v>
      </x:c>
    </x:row>
    <x:row r="21" ht="44" customHeight="1">
      <x:c r="A21" s="136" t="str">
        <x:v>CI-016-016</x:v>
      </x:c>
      <x:c r="B21" s="136" t="str">
        <x:v>v0.6</x:v>
      </x:c>
      <x:c r="C21" s="136" t="str">
        <x:v>qorbit_sim_v0_6.py</x:v>
      </x:c>
      <x:c r="D21" s="136" t="str">
        <x:v>v0.6/qorbit_sim_v0_6.py</x:v>
      </x:c>
      <x:c r="E21" s="136" t="str">
        <x:v>d6f7df8126589eeb11c2e9d6e04561ee66b9b2774b069481e9a0c2527788dbd4</x:v>
      </x:c>
      <x:c r="F21" s="141" t="n">
        <x:v>20978</x:v>
      </x:c>
      <x:c r="G21" s="136" t="str">
        <x:v>Frozen finite-key fixture, loss curve, baseline and reference implementation</x:v>
      </x:c>
      <x:c r="H21" s="136" t="str">
        <x:v>HASH-RECORDED</x:v>
      </x:c>
    </x:row>
    <x:row r="22" ht="44" customHeight="1">
      <x:c r="A22" s="137" t="str">
        <x:v>CI-016-017</x:v>
      </x:c>
      <x:c r="B22" s="137" t="str">
        <x:v>v0.7</x:v>
      </x:c>
      <x:c r="C22" s="137" t="str">
        <x:v>Q-Orbit_CASE-M1_Parameter_and_Provenance_Register_V0.7.csv</x:v>
      </x:c>
      <x:c r="D22" s="137" t="str">
        <x:v>v0.7/Q-Orbit_CASE-M1_Parameter_and_Provenance_Register_V0.7.csv</x:v>
      </x:c>
      <x:c r="E22" s="137" t="str">
        <x:v>fb07b900966085b6b1dccbc6bc451251d6ab41c6580e30493848a7c57a0b89db</x:v>
      </x:c>
      <x:c r="F22" s="140" t="n">
        <x:v>23845</x:v>
      </x:c>
      <x:c r="G22" s="137" t="str">
        <x:v>Controlled engineering screening ranges for the coupled grid</x:v>
      </x:c>
      <x:c r="H22" s="137" t="str">
        <x:v>HASH-RECORDED</x:v>
      </x:c>
    </x:row>
  </x:sheetData>
  <x:mergeCells>
    <x:mergeCell ref="A1:H2"/>
    <x:mergeCell ref="A3:H3"/>
  </x:mergeCells>
  <x:conditionalFormatting sqref="H6:H22">
    <x:cfRule type="containsText" dxfId="88" priority="1" operator="containsText" text="PASS"/>
    <x:cfRule type="containsText" dxfId="89" priority="2" operator="containsText" text="POSITIVE"/>
    <x:cfRule type="containsText" dxfId="90" priority="3" operator="containsText" text="BLOCKED"/>
    <x:cfRule type="containsText" dxfId="91" priority="4" operator="containsText" text="PROHIBITED"/>
    <x:cfRule type="containsText" dxfId="92" priority="5" operator="containsText" text="NONPOSITIVE"/>
    <x:cfRule type="containsText" dxfId="93" priority="6" operator="containsText" text="NOT-"/>
    <x:cfRule type="containsText" dxfId="94" priority="7" operator="containsText" text="UNMAPPED"/>
    <x:cfRule type="containsText" dxfId="95" priority="8" operator="containsText" text="QUARANTINE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40" hidden="0" customWidth="1"/>
  </x:cols>
  <x:sheetData>
    <x:row r="1" ht="27" customHeight="1">
      <x:c r="A1" s="3" t="str">
        <x:v>Workbook self-audit</x:v>
      </x:c>
      <x:c r="B1" s="3" t="str">
        <x:v>Workbook self-audit</x:v>
      </x:c>
      <x:c r="C1" s="3" t="str">
        <x:v>Workbook self-audit</x:v>
      </x:c>
      <x:c r="D1" s="3" t="str">
        <x:v>Workbook self-audit</x:v>
      </x:c>
      <x:c r="E1" s="3" t="str">
        <x:v>Workbook self-audit</x:v>
      </x:c>
      <x:c r="F1" s="3" t="str">
        <x:v>Workbook self-audit</x:v>
      </x:c>
    </x:row>
    <x:row r="2" ht="27" customHeight="1">
      <x:c r="A2" s="3" t="str">
        <x:v>Workbook self-audit</x:v>
      </x:c>
      <x:c r="B2" s="3" t="str">
        <x:v>Workbook self-audit</x:v>
      </x:c>
      <x:c r="C2" s="3" t="str">
        <x:v>Workbook self-audit</x:v>
      </x:c>
      <x:c r="D2" s="3" t="str">
        <x:v>Workbook self-audit</x:v>
      </x:c>
      <x:c r="E2" s="3" t="str">
        <x:v>Workbook self-audit</x:v>
      </x:c>
      <x:c r="F2" s="3" t="str">
        <x:v>Workbook self-audit</x:v>
      </x:c>
    </x:row>
    <x:row r="3" ht="32" customHeight="1">
      <x:c r="A3" s="7" t="str">
        <x:v>Formula-driven reconciliation of the controlled numerical outputs and fail-closed states.</x:v>
      </x:c>
      <x:c r="B3" s="7" t="str">
        <x:v>Formula-driven reconciliation of the controlled numerical outputs and fail-closed states.</x:v>
      </x:c>
      <x:c r="C3" s="7" t="str">
        <x:v>Formula-driven reconciliation of the controlled numerical outputs and fail-closed states.</x:v>
      </x:c>
      <x:c r="D3" s="7" t="str">
        <x:v>Formula-driven reconciliation of the controlled numerical outputs and fail-closed states.</x:v>
      </x:c>
      <x:c r="E3" s="7" t="str">
        <x:v>Formula-driven reconciliation of the controlled numerical outputs and fail-closed states.</x:v>
      </x:c>
      <x:c r="F3" s="7" t="str">
        <x:v>Formula-driven reconciliation of the controlled numerical outputs and fail-closed states.</x:v>
      </x:c>
    </x:row>
    <x:row r="5" ht="38" customHeight="1">
      <x:c r="A5" s="13" t="str">
        <x:v>audit_id</x:v>
      </x:c>
      <x:c r="B5" s="13" t="str">
        <x:v>expected</x:v>
      </x:c>
      <x:c r="C5" s="13" t="str">
        <x:v>observed_formula</x:v>
      </x:c>
      <x:c r="D5" s="13" t="str">
        <x:v>result</x:v>
      </x:c>
      <x:c r="E5" s="13" t="str">
        <x:v>check</x:v>
      </x:c>
    </x:row>
    <x:row r="6" ht="30" customHeight="1">
      <x:c r="A6" s="136" t="str">
        <x:v>AUD-001</x:v>
      </x:c>
      <x:c r="B6" s="164" t="n">
        <x:v>41338</x:v>
      </x:c>
      <x:c r="C6" s="164" t="n">
        <x:f>'Baseline'!B6</x:f>
        <x:v>41338</x:v>
      </x:c>
      <x:c r="D6" s="136" t="str">
        <x:f>IF(B6=C6,"PASS","FAIL")</x:f>
        <x:v>PASS</x:v>
      </x:c>
      <x:c r="E6" s="136" t="str">
        <x:v>Floored baseline key</x:v>
      </x:c>
    </x:row>
    <x:row r="7" ht="30" customHeight="1">
      <x:c r="A7" s="136" t="str">
        <x:v>AUD-002</x:v>
      </x:c>
      <x:c r="B7" s="164" t="n">
        <x:v>102</x:v>
      </x:c>
      <x:c r="C7" s="164" t="n">
        <x:f>'Baseline'!B8</x:f>
        <x:v>102</x:v>
      </x:c>
      <x:c r="D7" s="136" t="str">
        <x:f>IF(B7=C7,"PASS","FAIL")</x:f>
        <x:v>PASS</x:v>
      </x:c>
      <x:c r="E7" s="136" t="str">
        <x:v>Baseline half-window</x:v>
      </x:c>
    </x:row>
    <x:row r="8" ht="30" customHeight="1">
      <x:c r="A8" s="136" t="str">
        <x:v>AUD-003</x:v>
      </x:c>
      <x:c r="B8" s="164" t="n">
        <x:v>12</x:v>
      </x:c>
      <x:c r="C8" s="164" t="n">
        <x:f>COUNTA('Regression'!$A$6:$A$17)</x:f>
        <x:v>12</x:v>
      </x:c>
      <x:c r="D8" s="136" t="str">
        <x:f>IF(B8=C8,"PASS","FAIL")</x:f>
        <x:v>PASS</x:v>
      </x:c>
      <x:c r="E8" s="136" t="str">
        <x:v>Regression test count</x:v>
      </x:c>
    </x:row>
    <x:row r="9" ht="30" customHeight="1">
      <x:c r="A9" s="136" t="str">
        <x:v>AUD-004</x:v>
      </x:c>
      <x:c r="B9" s="164" t="n">
        <x:v>12</x:v>
      </x:c>
      <x:c r="C9" s="164" t="n">
        <x:f>COUNTIF('Regression'!$F$6:$F$17,"PASS")</x:f>
        <x:v>12</x:v>
      </x:c>
      <x:c r="D9" s="136" t="str">
        <x:f>IF(B9=C9,"PASS","FAIL")</x:f>
        <x:v>PASS</x:v>
      </x:c>
      <x:c r="E9" s="136" t="str">
        <x:v>Regression PASS count</x:v>
      </x:c>
    </x:row>
    <x:row r="10" ht="30" customHeight="1">
      <x:c r="A10" s="136" t="str">
        <x:v>AUD-005</x:v>
      </x:c>
      <x:c r="B10" s="164" t="n">
        <x:v>8</x:v>
      </x:c>
      <x:c r="C10" s="164" t="n">
        <x:f>COUNTA('Parameters'!$A$6:$A$13)</x:f>
        <x:v>8</x:v>
      </x:c>
      <x:c r="D10" s="136" t="str">
        <x:f>IF(B10=C10,"PASS","FAIL")</x:f>
        <x:v>PASS</x:v>
      </x:c>
      <x:c r="E10" s="136" t="str">
        <x:v>Mapped scalar parameter count</x:v>
      </x:c>
    </x:row>
    <x:row r="11" ht="30" customHeight="1">
      <x:c r="A11" s="136" t="str">
        <x:v>AUD-006</x:v>
      </x:c>
      <x:c r="B11" s="164" t="n">
        <x:v>16</x:v>
      </x:c>
      <x:c r="C11" s="164" t="n">
        <x:f>COUNTA('Frontiers'!$A$6:$A$21)</x:f>
        <x:v>16</x:v>
      </x:c>
      <x:c r="D11" s="136" t="str">
        <x:f>IF(B11=C11,"PASS","FAIL")</x:f>
        <x:v>PASS</x:v>
      </x:c>
      <x:c r="E11" s="136" t="str">
        <x:v>Frontier rows</x:v>
      </x:c>
    </x:row>
    <x:row r="12" ht="30" customHeight="1">
      <x:c r="A12" s="136" t="str">
        <x:v>AUD-007</x:v>
      </x:c>
      <x:c r="B12" s="164" t="n">
        <x:v>10</x:v>
      </x:c>
      <x:c r="C12" s="164" t="n">
        <x:f>COUNTIF('Frontiers'!$G$6:$G$21,"CROSSING-FOUND")</x:f>
        <x:v>10</x:v>
      </x:c>
      <x:c r="D12" s="136" t="str">
        <x:f>IF(B12=C12,"PASS","FAIL")</x:f>
        <x:v>PASS</x:v>
      </x:c>
      <x:c r="E12" s="136" t="str">
        <x:v>Frontier crossings</x:v>
      </x:c>
    </x:row>
    <x:row r="13" ht="30" customHeight="1">
      <x:c r="A13" s="136" t="str">
        <x:v>AUD-008</x:v>
      </x:c>
      <x:c r="B13" s="164" t="n">
        <x:v>1681</x:v>
      </x:c>
      <x:c r="C13" s="164" t="n">
        <x:f>COUNTA('Grid Screen'!$A$6:$A$1686)</x:f>
        <x:v>1681</x:v>
      </x:c>
      <x:c r="D13" s="136" t="str">
        <x:f>IF(B13=C13,"PASS","FAIL")</x:f>
        <x:v>PASS</x:v>
      </x:c>
      <x:c r="E13" s="136" t="str">
        <x:v>Grid rows</x:v>
      </x:c>
    </x:row>
    <x:row r="14" ht="30" customHeight="1">
      <x:c r="A14" s="136" t="str">
        <x:v>AUD-009</x:v>
      </x:c>
      <x:c r="B14" s="164" t="n">
        <x:v>568</x:v>
      </x:c>
      <x:c r="C14" s="164" t="n">
        <x:f>COUNTIF('Grid Screen'!$I$6:$I$1686,"POSITIVE-MODEL-MARGIN")</x:f>
        <x:v>568</x:v>
      </x:c>
      <x:c r="D14" s="136" t="str">
        <x:f>IF(B14=C14,"PASS","FAIL")</x:f>
        <x:v>PASS</x:v>
      </x:c>
      <x:c r="E14" s="136" t="str">
        <x:v>Positive grid rows</x:v>
      </x:c>
    </x:row>
    <x:row r="15" ht="30" customHeight="1">
      <x:c r="A15" s="136" t="str">
        <x:v>AUD-010</x:v>
      </x:c>
      <x:c r="B15" s="164" t="n">
        <x:v>1113</x:v>
      </x:c>
      <x:c r="C15" s="164" t="n">
        <x:f>COUNTIF('Grid Screen'!$I$6:$I$1686,"NONPOSITIVE-MODEL-MARGIN")</x:f>
        <x:v>1113</x:v>
      </x:c>
      <x:c r="D15" s="136" t="str">
        <x:f>IF(B15=C15,"PASS","FAIL")</x:f>
        <x:v>PASS</x:v>
      </x:c>
      <x:c r="E15" s="136" t="str">
        <x:v>Nonpositive grid rows</x:v>
      </x:c>
    </x:row>
    <x:row r="16" ht="30" customHeight="1">
      <x:c r="A16" s="136" t="str">
        <x:v>AUD-011</x:v>
      </x:c>
      <x:c r="B16" s="164" t="n">
        <x:v>1681</x:v>
      </x:c>
      <x:c r="C16" s="164" t="n">
        <x:f>COUNTIF('Grid Screen'!$I$6:$I$1686,"POSITIVE-MODEL-MARGIN")+COUNTIF('Grid Screen'!$I$6:$I$1686,"NONPOSITIVE-MODEL-MARGIN")</x:f>
        <x:v>1681</x:v>
      </x:c>
      <x:c r="D16" s="136" t="str">
        <x:f>IF(B16=C16,"PASS","FAIL")</x:f>
        <x:v>PASS</x:v>
      </x:c>
      <x:c r="E16" s="136" t="str">
        <x:v>Grid partition identity</x:v>
      </x:c>
    </x:row>
    <x:row r="17" ht="30" customHeight="1">
      <x:c r="A17" s="136" t="str">
        <x:v>AUD-012</x:v>
      </x:c>
      <x:c r="B17" s="165" t="n">
        <x:v>0.33789411064842356</x:v>
      </x:c>
      <x:c r="C17" s="165" t="n">
        <x:f>COUNTIF('Grid Screen'!$I$6:$I$1686,"POSITIVE-MODEL-MARGIN")/COUNTA('Grid Screen'!$A$6:$A$1686)</x:f>
        <x:v>0.33789411064842356</x:v>
      </x:c>
      <x:c r="D17" s="136" t="str">
        <x:f>IF(B17=C17,"PASS","FAIL")</x:f>
        <x:v>PASS</x:v>
      </x:c>
      <x:c r="E17" s="136" t="str">
        <x:v>Positive grid fraction</x:v>
      </x:c>
    </x:row>
    <x:row r="18" ht="30" customHeight="1">
      <x:c r="A18" s="136" t="str">
        <x:v>AUD-013</x:v>
      </x:c>
      <x:c r="B18" s="164" t="n">
        <x:v>16</x:v>
      </x:c>
      <x:c r="C18" s="164" t="n">
        <x:f>COUNTA('Proof Mapping'!$A$6:$A$21)</x:f>
        <x:v>16</x:v>
      </x:c>
      <x:c r="D18" s="136" t="str">
        <x:f>IF(B18=C18,"PASS","FAIL")</x:f>
        <x:v>PASS</x:v>
      </x:c>
      <x:c r="E18" s="136" t="str">
        <x:v>Proof-mapping rows</x:v>
      </x:c>
    </x:row>
    <x:row r="19" ht="30" customHeight="1">
      <x:c r="A19" s="136" t="str">
        <x:v>AUD-014</x:v>
      </x:c>
      <x:c r="B19" s="164" t="n">
        <x:v>7</x:v>
      </x:c>
      <x:c r="C19" s="164" t="n">
        <x:f>COUNTIF('Proof Mapping'!$D$6:$D$21,"UNMAPPED-PROOF-REQUIRED")+COUNTIF('Proof Mapping'!$D$6:$D$21,"UNMAPPED-MODEL-REQUIRED")+COUNTIF('Proof Mapping'!$D$6:$D$21,"UNMAPPED-SECURITY-BUDGET")</x:f>
        <x:v>7</x:v>
      </x:c>
      <x:c r="D19" s="136" t="str">
        <x:f>IF(B19=C19,"PASS","FAIL")</x:f>
        <x:v>PASS</x:v>
      </x:c>
      <x:c r="E19" s="136" t="str">
        <x:v>UNMAPPED mapping rows</x:v>
      </x:c>
    </x:row>
    <x:row r="20" ht="30" customHeight="1">
      <x:c r="A20" s="136" t="str">
        <x:v>AUD-015</x:v>
      </x:c>
      <x:c r="B20" s="164" t="n">
        <x:v>17</x:v>
      </x:c>
      <x:c r="C20" s="164" t="n">
        <x:f>COUNTA('Controlled Inputs'!$A$6:$A$22)</x:f>
        <x:v>17</x:v>
      </x:c>
      <x:c r="D20" s="136" t="str">
        <x:f>IF(B20=C20,"PASS","FAIL")</x:f>
        <x:v>PASS</x:v>
      </x:c>
      <x:c r="E20" s="136" t="str">
        <x:v>Controlled input rows</x:v>
      </x:c>
    </x:row>
    <x:row r="21" ht="30" customHeight="1">
      <x:c r="A21" s="136" t="str">
        <x:v>AUD-016</x:v>
      </x:c>
      <x:c r="B21" s="164" t="str">
        <x:v>NOT-EXECUTED</x:v>
      </x:c>
      <x:c r="C21" s="164" t="str">
        <x:f>'Gates'!D12</x:f>
        <x:v>NOT-EXECUTED</x:v>
      </x:c>
      <x:c r="D21" s="136" t="str">
        <x:f>IF(B21=C21,"PASS","FAIL")</x:f>
        <x:v>PASS</x:v>
      </x:c>
      <x:c r="E21" s="136" t="str">
        <x:v>Physical characterization</x:v>
      </x:c>
    </x:row>
    <x:row r="22" ht="30" customHeight="1">
      <x:c r="A22" s="136" t="str">
        <x:v>AUD-017</x:v>
      </x:c>
      <x:c r="B22" s="164" t="str">
        <x:v>BLOCKED</x:v>
      </x:c>
      <x:c r="C22" s="164" t="str">
        <x:f>'Gates'!D13</x:f>
        <x:v>BLOCKED</x:v>
      </x:c>
      <x:c r="D22" s="136" t="str">
        <x:f>IF(B22=C22,"PASS","FAIL")</x:f>
        <x:v>PASS</x:v>
      </x:c>
      <x:c r="E22" s="136" t="str">
        <x:v>Hardware-in-loop</x:v>
      </x:c>
    </x:row>
    <x:row r="23" ht="30" customHeight="1">
      <x:c r="A23" s="136" t="str">
        <x:v>AUD-018</x:v>
      </x:c>
      <x:c r="B23" s="164" t="str">
        <x:v>NOT-RUN/NONE</x:v>
      </x:c>
      <x:c r="C23" s="164" t="str">
        <x:f>'Gates'!D14</x:f>
        <x:v>NOT-RUN/NONE</x:v>
      </x:c>
      <x:c r="D23" s="136" t="str">
        <x:f>IF(B23=C23,"PASS","FAIL")</x:f>
        <x:v>PASS</x:v>
      </x:c>
      <x:c r="E23" s="136" t="str">
        <x:v>Tabuk run</x:v>
      </x:c>
    </x:row>
    <x:row r="24" ht="30" customHeight="1">
      <x:c r="A24" s="136" t="str">
        <x:v>AUD-019</x:v>
      </x:c>
      <x:c r="B24" s="164" t="str">
        <x:v>QUARANTINED/ZERO-RELEASED</x:v>
      </x:c>
      <x:c r="C24" s="164" t="str">
        <x:f>'Gates'!D15</x:f>
        <x:v>QUARANTINED/ZERO-RELEASED</x:v>
      </x:c>
      <x:c r="D24" s="136" t="str">
        <x:f>IF(B24=C24,"PASS","FAIL")</x:f>
        <x:v>PASS</x:v>
      </x:c>
      <x:c r="E24" s="136" t="str">
        <x:v>Key release</x:v>
      </x:c>
    </x:row>
    <x:row r="25" ht="30" customHeight="1">
      <x:c r="A25" s="136" t="str">
        <x:v>AUD-020</x:v>
      </x:c>
      <x:c r="B25" s="164" t="str">
        <x:v>PRIVATE-BLOCKED</x:v>
      </x:c>
      <x:c r="C25" s="164" t="str">
        <x:f>'Gates'!D16</x:f>
        <x:v>PRIVATE-BLOCKED</x:v>
      </x:c>
      <x:c r="D25" s="136" t="str">
        <x:f>IF(B25=C25,"PASS","FAIL")</x:f>
        <x:v>PASS</x:v>
      </x:c>
      <x:c r="E25" s="136" t="str">
        <x:v>Publication</x:v>
      </x:c>
    </x:row>
    <x:row r="26" ht="30" customHeight="1">
      <x:c r="A26" s="136" t="str">
        <x:v>AUD-021</x:v>
      </x:c>
      <x:c r="B26" s="164" t="n">
        <x:v>9</x:v>
      </x:c>
      <x:c r="C26" s="164" t="n">
        <x:f>COUNTIF('Claims'!$C$6:$C$19,"PROHIBITED")</x:f>
        <x:v>9</x:v>
      </x:c>
      <x:c r="D26" s="136" t="str">
        <x:f>IF(B26=C26,"PASS","FAIL")</x:f>
        <x:v>PASS</x:v>
      </x:c>
      <x:c r="E26" s="136" t="str">
        <x:v>Prohibited claim rows</x:v>
      </x:c>
    </x:row>
  </x:sheetData>
  <x:mergeCells>
    <x:mergeCell ref="A1:F2"/>
    <x:mergeCell ref="A3:F3"/>
  </x:mergeCells>
  <x:conditionalFormatting sqref="D6:D26">
    <x:cfRule type="containsText" dxfId="96" priority="1" operator="containsText" text="PASS"/>
    <x:cfRule type="containsText" dxfId="97" priority="2" operator="containsText" text="POSITIVE"/>
    <x:cfRule type="containsText" dxfId="98" priority="3" operator="containsText" text="BLOCKED"/>
    <x:cfRule type="containsText" dxfId="99" priority="4" operator="containsText" text="PROHIBITED"/>
    <x:cfRule type="containsText" dxfId="100" priority="5" operator="containsText" text="NONPOSITIVE"/>
    <x:cfRule type="containsText" dxfId="101" priority="6" operator="containsText" text="NOT-"/>
    <x:cfRule type="containsText" dxfId="102" priority="7" operator="containsText" text="UNMAPPED"/>
    <x:cfRule type="containsText" dxfId="103" priority="8" operator="containsText" text="QUARANTINED"/>
  </x:conditionalFormatting>
  <x:pageMargins left="0.7" right="0.7" top="0.75" bottom="0.75" header="0.3" footer="0.3"/>
</x:worksheet>
</file>